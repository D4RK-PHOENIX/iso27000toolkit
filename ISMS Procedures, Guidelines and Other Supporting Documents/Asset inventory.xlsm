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430" codeName="{2109D909-C6D8-E34B-4C66-09127ED2DC46}"/>
  <fileSharing readOnlyRecommended="1"/>
  <workbookPr filterPrivacy="1" codeName="ThisWorkbook"/>
  <xr:revisionPtr revIDLastSave="0" documentId="13_ncr:1_{17E7037D-5EF4-4112-A3C3-754AF9E37565}" xr6:coauthVersionLast="45" xr6:coauthVersionMax="45" xr10:uidLastSave="{00000000-0000-0000-0000-000000000000}"/>
  <bookViews>
    <workbookView xWindow="-120" yWindow="-120" windowWidth="20730" windowHeight="11160" xr2:uid="{00000000-000D-0000-FFFF-FFFF00000000}"/>
  </bookViews>
  <sheets>
    <sheet name="Overview" sheetId="13" r:id="rId1"/>
    <sheet name="InformationAssetInventory" sheetId="2" r:id="rId2"/>
    <sheet name="GAP Analysis" sheetId="10" r:id="rId3"/>
    <sheet name="Guidelines" sheetId="4" r:id="rId4"/>
    <sheet name="GAP Analysis 2011" sheetId="11" state="hidden" r:id="rId5"/>
    <sheet name="MgmtSummary" sheetId="6" state="hidden" r:id="rId6"/>
  </sheets>
  <externalReferences>
    <externalReference r:id="rId7"/>
  </externalReferences>
  <definedNames>
    <definedName name="_10._Sensitive_Customer_Information_?__Y_N" localSheetId="4">InformationAssetInventory!#REF!</definedName>
    <definedName name="_10._Sensitive_Customer_Information_?__Y_N">InformationAssetInventory!#REF!</definedName>
    <definedName name="_xlnm._FilterDatabase" localSheetId="1" hidden="1">InformationAssetInventory!$A$1:$Q$26</definedName>
    <definedName name="_xlnm._FilterDatabase" localSheetId="5" hidden="1">MgmtSummary!#REF!</definedName>
    <definedName name="_xlnm.Criteria" localSheetId="4">InformationAssetInventory!#REF!</definedName>
    <definedName name="_xlnm.Criteria">InformationAssetInventory!#REF!</definedName>
    <definedName name="List1">[1]Milestones!$B$24:$B$26</definedName>
    <definedName name="_xlnm.Print_Area" localSheetId="3">Guidelines!$A$1:$T$50</definedName>
    <definedName name="_xlnm.Print_Area" localSheetId="5">MgmtSummary!$A$1:$H$16</definedName>
    <definedName name="_xlnm.Print_Titles" localSheetId="5">MgmtSummary!$1:$2</definedName>
  </definedNames>
  <calcPr calcId="181029" iterateDelta="1E-4"/>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8" i="6" l="1"/>
  <c r="B7" i="6"/>
  <c r="B5" i="6"/>
  <c r="B6" i="6"/>
</calcChain>
</file>

<file path=xl/sharedStrings.xml><?xml version="1.0" encoding="utf-8"?>
<sst xmlns="http://schemas.openxmlformats.org/spreadsheetml/2006/main" count="317" uniqueCount="213">
  <si>
    <t>XIS</t>
  </si>
  <si>
    <t>EMAIL, PDF, XLS, WORD DOC</t>
  </si>
  <si>
    <t>PAPER COPIES SHREDDED AFTER USE</t>
  </si>
  <si>
    <t>SALES COLLATERAL</t>
  </si>
  <si>
    <t>CHANGE MANAGEMENT</t>
  </si>
  <si>
    <t>PROJECT MANAGEMENT</t>
  </si>
  <si>
    <t xml:space="preserve">PRICING INFORMATION, RFI's </t>
  </si>
  <si>
    <t>PROJECT STATUS REPORTS</t>
  </si>
  <si>
    <t>ANALYSIS, TRACKING, PLANNING</t>
  </si>
  <si>
    <t>ANALYSIS, TRACKING, PLANNING, HISTORICAL VIEW</t>
  </si>
  <si>
    <t>REPOSITORY PASSWORD PROTECTED. ALSO ON SHARED DRIVE, PAPER COPIES SHREDDED AFTER USE</t>
  </si>
  <si>
    <t>Test1</t>
  </si>
  <si>
    <t>Y</t>
  </si>
  <si>
    <t>N</t>
  </si>
  <si>
    <t>Description</t>
  </si>
  <si>
    <t>Contents</t>
  </si>
  <si>
    <t>0x01</t>
  </si>
  <si>
    <t>0x02</t>
  </si>
  <si>
    <t>0x03</t>
  </si>
  <si>
    <t>Guidelines</t>
  </si>
  <si>
    <t xml:space="preserve">Classification </t>
  </si>
  <si>
    <t>New starter form</t>
  </si>
  <si>
    <t>Current Level of Protection</t>
  </si>
  <si>
    <t>Security Conclusion</t>
  </si>
  <si>
    <t>Confidential</t>
  </si>
  <si>
    <t>Information Asset Details</t>
  </si>
  <si>
    <t>Organisation &amp; relevant process</t>
  </si>
  <si>
    <t>On PC of line manager, stored on network.  For some line managers, they store these files on their laptop.  Unlikely to be password protected.</t>
  </si>
  <si>
    <t>Electronic .xls template file</t>
  </si>
  <si>
    <t>Example</t>
  </si>
  <si>
    <t>4. Name of Asset</t>
  </si>
  <si>
    <t>5. Description of Asset</t>
  </si>
  <si>
    <t>Personal Data</t>
  </si>
  <si>
    <t>Sensitive Personal Data</t>
  </si>
  <si>
    <t>Sensitive Customer Data</t>
  </si>
  <si>
    <t>Storage</t>
  </si>
  <si>
    <t>Generic Processes</t>
  </si>
  <si>
    <t>HR</t>
  </si>
  <si>
    <t>Budget Process</t>
  </si>
  <si>
    <t>Resource Management</t>
  </si>
  <si>
    <t>Business Continuity</t>
  </si>
  <si>
    <t>Risk Management</t>
  </si>
  <si>
    <t>Audit</t>
  </si>
  <si>
    <t>Compliance</t>
  </si>
  <si>
    <t>Contracts</t>
  </si>
  <si>
    <t xml:space="preserve">Sales Collateral </t>
  </si>
  <si>
    <t>Change management</t>
  </si>
  <si>
    <t>Project Management</t>
  </si>
  <si>
    <t>Core Business Processes</t>
  </si>
  <si>
    <t xml:space="preserve">Table 2- Classification Types </t>
  </si>
  <si>
    <t>Table 1- Process examples</t>
  </si>
  <si>
    <t>Some One</t>
  </si>
  <si>
    <t>Examples of processes and information assets</t>
  </si>
  <si>
    <t>Information Asset</t>
  </si>
  <si>
    <t>BISO/Process Owner Action</t>
  </si>
  <si>
    <t>Labelling</t>
  </si>
  <si>
    <t>Addressing</t>
  </si>
  <si>
    <t>Mailing of Information</t>
  </si>
  <si>
    <t>Transportation</t>
  </si>
  <si>
    <t>Disposal</t>
  </si>
  <si>
    <t>Strictly Confidential</t>
  </si>
  <si>
    <t>Business use only</t>
  </si>
  <si>
    <t>Public</t>
  </si>
  <si>
    <t>Show the recipients name and address on envelope.</t>
  </si>
  <si>
    <r>
      <t xml:space="preserve">No classification marking on envelope; </t>
    </r>
    <r>
      <rPr>
        <b/>
        <sz val="10"/>
        <color indexed="8"/>
        <rFont val="Frutiger 45 Light"/>
      </rPr>
      <t>CONFIDENTIAL</t>
    </r>
    <r>
      <rPr>
        <sz val="10"/>
        <color indexed="8"/>
        <rFont val="Frutiger 45 Light"/>
      </rPr>
      <t xml:space="preserve"> marking on cover sheet; confirmation of receipt at discretion.</t>
    </r>
  </si>
  <si>
    <t>Mailing requirements determined by information owner.</t>
  </si>
  <si>
    <t>No security requirements.</t>
  </si>
  <si>
    <t>By hand or approved courier.</t>
  </si>
  <si>
    <t>Registered mail.</t>
  </si>
  <si>
    <t>Normal mail service.</t>
  </si>
  <si>
    <t>Protection requirements for information in printed format.</t>
  </si>
  <si>
    <t>Electronic Labelling</t>
  </si>
  <si>
    <t>Transmission</t>
  </si>
  <si>
    <t>Storage (e.g. digital file, eMail or web page)</t>
  </si>
  <si>
    <t>Information must be transmitted in encrypted form (using a business-approved method). Transmission should have controlled access e.g. password protected account login.</t>
  </si>
  <si>
    <t>Information must be transmitted in encrypted form (using a business-approved method). Transmissions should have controlled access e.g. password protected account login.</t>
  </si>
  <si>
    <t>Information should be transmitted to a verified account (eMail address or login ID).</t>
  </si>
  <si>
    <t>Stored in a directory or folder with restricted access, e.g., password protection.</t>
  </si>
  <si>
    <t>Removal of Directory entry for file.</t>
  </si>
  <si>
    <t>Any data held either electronically or manually, which relates directly to a living individual and which covers specifically (including): racial or ethnic origin; political opinions; religious or other beliefs; Trade Union membership; health; sex life; criminal allegations, proceedings or convictions.</t>
  </si>
  <si>
    <t>Data which contains information specific to a customer including but not limited to bank account details, userids and passwords, list of employees.</t>
  </si>
  <si>
    <t>Personal, Sensitive Personal, and Sensitive Customer Data</t>
  </si>
  <si>
    <t>UNIT A</t>
  </si>
  <si>
    <t>New starter process</t>
  </si>
  <si>
    <t>UNIT B</t>
  </si>
  <si>
    <t xml:space="preserve">Classification Type Summary </t>
  </si>
  <si>
    <t>Classification Type</t>
  </si>
  <si>
    <t>Total</t>
  </si>
  <si>
    <t>Business Use Only</t>
  </si>
  <si>
    <t>Management Summary</t>
  </si>
  <si>
    <t>[Complete after review and distribute]</t>
  </si>
  <si>
    <r>
      <t xml:space="preserve">Process Owner Response and Date for Implementation </t>
    </r>
    <r>
      <rPr>
        <sz val="12"/>
        <rFont val="Arial"/>
        <family val="2"/>
      </rPr>
      <t>(Evidence is required ie. screenshots or similar where applicable to prove these controls are enforced)</t>
    </r>
  </si>
  <si>
    <r>
      <t xml:space="preserve">It is thought that UNIT A operate on an different network to UNIT B and that emails are therefore routed via the external network.  There is therefore an issue that insecure personal sensitive data is being sent over the public internet. 
</t>
    </r>
    <r>
      <rPr>
        <b/>
        <sz val="12"/>
        <rFont val="Arial"/>
        <family val="2"/>
      </rPr>
      <t>TISO Conclusion</t>
    </r>
    <r>
      <rPr>
        <sz val="12"/>
        <rFont val="Arial"/>
        <family val="2"/>
      </rPr>
      <t xml:space="preserve">
This communication remains within the WAN. There is no data traversing public networks.
System A and System B need to be subjected to a RAMM (Risk Assessment Management Methodology)</t>
    </r>
  </si>
  <si>
    <t>2. Process name</t>
  </si>
  <si>
    <t>3. Process owner</t>
  </si>
  <si>
    <r>
      <t xml:space="preserve">Each page to be marked </t>
    </r>
    <r>
      <rPr>
        <b/>
        <sz val="10"/>
        <rFont val="Frutiger 45 Light"/>
      </rPr>
      <t>STRICTLY CONFIDENTIAL</t>
    </r>
    <r>
      <rPr>
        <sz val="10"/>
        <rFont val="Frutiger 45 Light"/>
      </rPr>
      <t>.</t>
    </r>
  </si>
  <si>
    <t>Usage</t>
  </si>
  <si>
    <t xml:space="preserve">Public </t>
  </si>
  <si>
    <r>
      <t xml:space="preserve">Each page to be marked </t>
    </r>
    <r>
      <rPr>
        <b/>
        <sz val="10"/>
        <rFont val="Frutiger 45 Light"/>
      </rPr>
      <t>Business use only</t>
    </r>
    <r>
      <rPr>
        <sz val="10"/>
        <rFont val="Frutiger 45 Light"/>
      </rPr>
      <t>.</t>
    </r>
  </si>
  <si>
    <r>
      <t xml:space="preserve">No classification marking on envelope; </t>
    </r>
    <r>
      <rPr>
        <b/>
        <sz val="10"/>
        <rFont val="Frutiger 45 Light"/>
      </rPr>
      <t>STRICTLY CONFIDENTIAL</t>
    </r>
    <r>
      <rPr>
        <sz val="10"/>
        <rFont val="Frutiger 45 Light"/>
      </rPr>
      <t xml:space="preserve"> marking on cover sheet; confirmation of receipt at discretion of information owner.</t>
    </r>
  </si>
  <si>
    <t>Must be stored within secure fire and water proof locked storage units within a locked office. This includes single instance documents where no electronic or paper copies exist.</t>
  </si>
  <si>
    <t>Must be stored within locked storage units when not in the presence of the originator or recipient.</t>
  </si>
  <si>
    <t>Information must be disposed of securely using strip-cut shredders or confidential waste bins which are certified for secure destruction.</t>
  </si>
  <si>
    <t>Information which is deemed appropriate for public disclosure can be disposed of using locally supplied waste paper facilities. If there is any doubt as to whether the information is commercially or personally sensitive, then use strip-cut shredders or confidential waste bins which are certified for secure destruction.</t>
  </si>
  <si>
    <t>Disposal of physical medium (e.g. hard disks/drives).</t>
  </si>
  <si>
    <t>Disposal of electronic information (digital file).</t>
  </si>
  <si>
    <r>
      <t xml:space="preserve">The information medium must be marked </t>
    </r>
    <r>
      <rPr>
        <b/>
        <sz val="10"/>
        <rFont val="Frutiger 45 Light"/>
      </rPr>
      <t>STRICTLY CONFIDENTIAL</t>
    </r>
    <r>
      <rPr>
        <sz val="10"/>
        <rFont val="Frutiger 45 Light"/>
      </rPr>
      <t xml:space="preserve"> on subject-line or header/footer.</t>
    </r>
  </si>
  <si>
    <r>
      <t xml:space="preserve">Where information medium is not permanently held in locked storage or a secure environment, it must be labeled </t>
    </r>
    <r>
      <rPr>
        <b/>
        <sz val="10"/>
        <rFont val="Frutiger 45 Light"/>
      </rPr>
      <t>CONFIDENTIAL</t>
    </r>
    <r>
      <rPr>
        <sz val="10"/>
        <rFont val="Frutiger 45 Light"/>
      </rPr>
      <t xml:space="preserve"> on subject-line or header/footer.</t>
    </r>
  </si>
  <si>
    <t>Stored in a directory or folder with controlled access, e.g., password protection. Information must be stored encrypted.</t>
  </si>
  <si>
    <t>All removable media must have applied encryption including mobile devices e.g. Laptops, PDA’s, iPhones, Blackberries, USB Sticks. Laptop hard disks are to be encrypted and the laptop is to be secure to desks using e.g. Kensington locks.</t>
  </si>
  <si>
    <t>In addition to removing the directory entry for the file, the space used by the file must be over-written using state of the art approved solutions for the permanent removal of data.</t>
  </si>
  <si>
    <t>Media must be disposed of securely using state of the art approved solutions for the permanent removal of data (e.g. shredding or physical destruction).</t>
  </si>
  <si>
    <t>8. Classification</t>
  </si>
  <si>
    <t>BISO / TISO Assessment</t>
  </si>
  <si>
    <r>
      <t xml:space="preserve">7. Type of Information Asset </t>
    </r>
    <r>
      <rPr>
        <sz val="12"/>
        <rFont val="Arial"/>
        <family val="2"/>
      </rPr>
      <t>[Hard copy, Electronic File (specify type), removable media/device (specify type)]</t>
    </r>
  </si>
  <si>
    <t>8.a Integrity</t>
  </si>
  <si>
    <t>8.b Availability</t>
  </si>
  <si>
    <t>Form used to initiate the new starter process and sent to UNIT B via email.</t>
  </si>
  <si>
    <t>Medium</t>
  </si>
  <si>
    <t>Low</t>
  </si>
  <si>
    <t>Table 3- Integrity Types</t>
  </si>
  <si>
    <t>Integrity</t>
  </si>
  <si>
    <t>Definition</t>
  </si>
  <si>
    <t>Examples/impact of unauthorised modification</t>
  </si>
  <si>
    <t>High</t>
  </si>
  <si>
    <t>Same as Confidentiality classification for Confidential information.</t>
  </si>
  <si>
    <t>Same as Confidentiality classification for Business use only information.</t>
  </si>
  <si>
    <t>100% error free.</t>
  </si>
  <si>
    <t>96-99% error free.</t>
  </si>
  <si>
    <t>90-95% error free.</t>
  </si>
  <si>
    <t>Same as Confidentiality classification for Strictly Confidential information.</t>
  </si>
  <si>
    <t>Table 4- Availability Types</t>
  </si>
  <si>
    <t xml:space="preserve">Table 5- Sensitive data examples </t>
  </si>
  <si>
    <t>Significant adverse impact.</t>
  </si>
  <si>
    <t>Limited adverse impact.</t>
  </si>
  <si>
    <t>No interruption of access beyond 7 days.</t>
  </si>
  <si>
    <t>No interruption of access beyond 1 day.</t>
  </si>
  <si>
    <t>Budget Document, Invoices.</t>
  </si>
  <si>
    <t>CV, Salary letters, references, personal sensitive information, disciplinary information, pension information, starter mover joiner process.</t>
  </si>
  <si>
    <t>BCP &amp; DR Plans, BIA.</t>
  </si>
  <si>
    <t>Risk Registers, Risk &amp; Issues Logs.</t>
  </si>
  <si>
    <t>Incident reports, money laundering reports, data protection information, all policies.</t>
  </si>
  <si>
    <t>Pricing information, RFIs, RFPs, presales leads (pipeline).</t>
  </si>
  <si>
    <t>Quality, Production, Sales definitions.</t>
  </si>
  <si>
    <t>All project or related documentation.</t>
  </si>
  <si>
    <t>Project status reporting, customer reporting, internal project documents/specs.</t>
  </si>
  <si>
    <t>Information Asset Inventory</t>
  </si>
  <si>
    <t>Business Name(s):</t>
  </si>
  <si>
    <t>BISO:</t>
  </si>
  <si>
    <t>Date Completed:</t>
  </si>
  <si>
    <t>Date Signed Off:</t>
  </si>
  <si>
    <t>Signed off by BISO and Business:</t>
  </si>
  <si>
    <t>Status Report</t>
  </si>
  <si>
    <t>Nr</t>
  </si>
  <si>
    <r>
      <t xml:space="preserve">9. Asset Custodian
</t>
    </r>
    <r>
      <rPr>
        <sz val="12"/>
        <rFont val="Arial"/>
        <family val="2"/>
      </rPr>
      <t>(if NOT Functional Owner)</t>
    </r>
  </si>
  <si>
    <r>
      <t xml:space="preserve">6. Personal Data </t>
    </r>
    <r>
      <rPr>
        <sz val="12"/>
        <rFont val="Arial"/>
        <family val="2"/>
      </rPr>
      <t>(Y/N)</t>
    </r>
  </si>
  <si>
    <r>
      <t xml:space="preserve">6.a Personal Sensitive Data </t>
    </r>
    <r>
      <rPr>
        <sz val="12"/>
        <rFont val="Arial"/>
        <family val="2"/>
      </rPr>
      <t>(Y/N)</t>
    </r>
  </si>
  <si>
    <r>
      <t xml:space="preserve">6. b Sensitive Customer Data </t>
    </r>
    <r>
      <rPr>
        <sz val="12"/>
        <rFont val="Arial"/>
        <family val="2"/>
      </rPr>
      <t>(Y/N)</t>
    </r>
  </si>
  <si>
    <r>
      <t xml:space="preserve">10. At Origin </t>
    </r>
    <r>
      <rPr>
        <sz val="12"/>
        <rFont val="Arial"/>
        <family val="2"/>
      </rPr>
      <t>(description)</t>
    </r>
  </si>
  <si>
    <r>
      <t xml:space="preserve">11. If Information is Moved </t>
    </r>
    <r>
      <rPr>
        <sz val="12"/>
        <rFont val="Arial"/>
        <family val="2"/>
      </rPr>
      <t>(description)</t>
    </r>
  </si>
  <si>
    <r>
      <t xml:space="preserve">1. Operating Unit / Function </t>
    </r>
    <r>
      <rPr>
        <sz val="12"/>
        <rFont val="Arial"/>
        <family val="2"/>
      </rPr>
      <t>(e.g. XIS, XBS, XCS, ISW, XHS etc..)</t>
    </r>
  </si>
  <si>
    <t>10. Data Retention Period</t>
  </si>
  <si>
    <t>0.5 Years</t>
  </si>
  <si>
    <t>Process name</t>
  </si>
  <si>
    <t>Process owner</t>
  </si>
  <si>
    <t>Name of Asset</t>
  </si>
  <si>
    <t>Description of Asset</t>
  </si>
  <si>
    <r>
      <t xml:space="preserve">Type of Information Asset </t>
    </r>
    <r>
      <rPr>
        <sz val="12"/>
        <rFont val="Arial"/>
        <family val="2"/>
      </rPr>
      <t>[Hard copy, Electronic File (specify type), removable media/device (specify type)]</t>
    </r>
  </si>
  <si>
    <r>
      <t xml:space="preserve">Personal Data </t>
    </r>
    <r>
      <rPr>
        <sz val="12"/>
        <rFont val="Arial"/>
        <family val="2"/>
      </rPr>
      <t>(Y/N)</t>
    </r>
  </si>
  <si>
    <r>
      <t xml:space="preserve">Personal Sensitive Data </t>
    </r>
    <r>
      <rPr>
        <sz val="12"/>
        <rFont val="Arial"/>
        <family val="2"/>
      </rPr>
      <t>(Y/N)</t>
    </r>
  </si>
  <si>
    <r>
      <t xml:space="preserve">Sensitive Customer Data </t>
    </r>
    <r>
      <rPr>
        <sz val="12"/>
        <rFont val="Arial"/>
        <family val="2"/>
      </rPr>
      <t>(Y/N)</t>
    </r>
  </si>
  <si>
    <t>Classification</t>
  </si>
  <si>
    <t>Availability</t>
  </si>
  <si>
    <r>
      <t xml:space="preserve">Asset Custodian
</t>
    </r>
    <r>
      <rPr>
        <sz val="12"/>
        <rFont val="Arial"/>
        <family val="2"/>
      </rPr>
      <t>(if NOT Functional Owner)</t>
    </r>
  </si>
  <si>
    <t>Data Retention Period</t>
  </si>
  <si>
    <r>
      <t xml:space="preserve">At Origin </t>
    </r>
    <r>
      <rPr>
        <sz val="12"/>
        <rFont val="Arial"/>
        <family val="2"/>
      </rPr>
      <t>(description)</t>
    </r>
  </si>
  <si>
    <r>
      <t xml:space="preserve">If Information is Moved </t>
    </r>
    <r>
      <rPr>
        <sz val="12"/>
        <rFont val="Arial"/>
        <family val="2"/>
      </rPr>
      <t>(description)</t>
    </r>
  </si>
  <si>
    <t>Severe adverse impact.</t>
  </si>
  <si>
    <t>No interruption beyond 0.5 days.</t>
  </si>
  <si>
    <r>
      <t>Once the Inventory is complete click the</t>
    </r>
    <r>
      <rPr>
        <sz val="12"/>
        <color indexed="10"/>
        <rFont val="Arial"/>
        <family val="2"/>
      </rPr>
      <t xml:space="preserve"> [Generate Gap Analysis] </t>
    </r>
    <r>
      <rPr>
        <sz val="12"/>
        <rFont val="Arial"/>
        <family val="2"/>
      </rPr>
      <t xml:space="preserve">button below to highlight those information assets which require a risk assessment.
Your risk assessment needs to verify that the protection controls in place for the assets listed are adequate to the sensitivity of the data as guided by the </t>
    </r>
    <r>
      <rPr>
        <i/>
        <sz val="12"/>
        <rFont val="Arial"/>
        <family val="2"/>
      </rPr>
      <t>Information Handling Policy</t>
    </r>
    <r>
      <rPr>
        <sz val="12"/>
        <rFont val="Arial"/>
        <family val="2"/>
      </rPr>
      <t xml:space="preserve">.
Use &lt;Columns S and T&gt; to record necessary actions required of the process owner until complete. </t>
    </r>
    <r>
      <rPr>
        <b/>
        <sz val="12"/>
        <rFont val="Arial"/>
        <family val="2"/>
      </rPr>
      <t xml:space="preserve">
[</t>
    </r>
    <r>
      <rPr>
        <b/>
        <i/>
        <sz val="12"/>
        <rFont val="Arial"/>
        <family val="2"/>
      </rPr>
      <t>DO NOT click GENERATE GAP ANALYSIS again unless you have created a copy of this document beforehand</t>
    </r>
    <r>
      <rPr>
        <b/>
        <sz val="12"/>
        <rFont val="Arial"/>
        <family val="2"/>
      </rPr>
      <t>]</t>
    </r>
  </si>
  <si>
    <t>Business Change</t>
  </si>
  <si>
    <t>BPO/BUSINESS CHANGE</t>
  </si>
  <si>
    <t>Over 5 Years</t>
  </si>
  <si>
    <t>PROJECT DOCUMENTATION incl SCR</t>
  </si>
  <si>
    <t>Security Control in place</t>
  </si>
  <si>
    <t>No action</t>
  </si>
  <si>
    <t>Dept. Name(s):</t>
  </si>
  <si>
    <t>Gap Analysis</t>
  </si>
  <si>
    <t xml:space="preserve">Production data </t>
  </si>
  <si>
    <t>Skills matrix, appraisals, training details i.e. records.</t>
  </si>
  <si>
    <t>SAS70 reports, any internal or external audit reports.</t>
  </si>
  <si>
    <t>Service agreements, Service definitions, contracts, SCRs, NDAs.</t>
  </si>
  <si>
    <t>Reporting/Management Information/MIS</t>
  </si>
  <si>
    <t>An individual must be capable of being identified from that data or a number or sources of data
- An example is a simple email address such as john.smith@company.com. We know that there is a company and that there is an individual called john smith who works for them so he can be identified from the email address, therefore the email address is enough to constitute personal information.</t>
  </si>
  <si>
    <t>Secure office or other location. Room need not be locked if access to the floor is restricted to employees and authorised non-employees.</t>
  </si>
  <si>
    <t xml:space="preserve">Secure office or other location. Room need not be locked if access to the building or floor is restricted to employees and authorised non-employees. </t>
  </si>
  <si>
    <t xml:space="preserve">1. Operating Unit / Function </t>
  </si>
  <si>
    <t xml:space="preserve">Operating Unit / Function </t>
  </si>
  <si>
    <t>Form is emailed to UNIT B using internal email system.  It is then held on System A and System B by UNIT B.</t>
  </si>
  <si>
    <t>UPDATE</t>
  </si>
  <si>
    <t>The above sign off indicates that the BISO has authorized the contents of this document once complete together with the business entity (e.g. with the M.D. or head of department).
A record of this sign off will be available for auditing purposes.</t>
  </si>
  <si>
    <r>
      <t xml:space="preserve">The storage medium must have two envelopes/layers of packaging.
The outer envelope/layer must:
-Show the recipients name and address.
-Be marked </t>
    </r>
    <r>
      <rPr>
        <b/>
        <sz val="10"/>
        <rFont val="Frutiger 45 Light"/>
      </rPr>
      <t>TO BE OPENED BY ADDRESSEE ONLY</t>
    </r>
    <r>
      <rPr>
        <sz val="10"/>
        <rFont val="Frutiger 45 Light"/>
      </rPr>
      <t xml:space="preserve">
-Show the name and phone number of the sender of the information.
The inner envelope must be labelled </t>
    </r>
    <r>
      <rPr>
        <b/>
        <sz val="10"/>
        <rFont val="Frutiger 45 Light"/>
      </rPr>
      <t>STRICTLY CONFIDENTIAL</t>
    </r>
    <r>
      <rPr>
        <sz val="10"/>
        <rFont val="Frutiger 45 Light"/>
      </rPr>
      <t>.</t>
    </r>
  </si>
  <si>
    <r>
      <t xml:space="preserve">Each page to be marked </t>
    </r>
    <r>
      <rPr>
        <b/>
        <sz val="10"/>
        <rFont val="Frutiger 45 Light"/>
      </rPr>
      <t>CONFIDENTIAL</t>
    </r>
    <r>
      <rPr>
        <sz val="10"/>
        <rFont val="Frutiger 45 Light"/>
      </rPr>
      <t>.</t>
    </r>
  </si>
  <si>
    <t>Information must be disposed of securely using cross-cut shredders or confidential waste bins which are certified for secure destruction.
A record must be kept of how, when and by whom the information was destroyed (To provide an audit trail).</t>
  </si>
  <si>
    <t>Protection requirements for information in electronic format (computer data)</t>
  </si>
  <si>
    <t>Stored in a directory or folder with controlled access, e.g., password protection.
Information must be stored encrypted using approved methods.</t>
  </si>
  <si>
    <r>
      <t xml:space="preserve">Must be marked </t>
    </r>
    <r>
      <rPr>
        <b/>
        <sz val="10"/>
        <rFont val="Frutiger 45 Light"/>
      </rPr>
      <t>Business use only</t>
    </r>
    <r>
      <rPr>
        <sz val="10"/>
        <rFont val="Frutiger 45 Light"/>
      </rPr>
      <t xml:space="preserve"> on subject-line or header/footer.</t>
    </r>
  </si>
  <si>
    <t>Removable media (e.g. USB stick, CD, laptop, Blackberry)</t>
  </si>
  <si>
    <t>Information must be disposed of securely using state of the art approved solutions for the permanent removal of data.
A record must be kept of how, when and by whom the information was destroyed (to provide an audit trail).</t>
  </si>
  <si>
    <t>Availability level</t>
  </si>
  <si>
    <t>Integrity level</t>
  </si>
  <si>
    <r>
      <t xml:space="preserve">The storage medium must have two envelopes/layers of packaging.
The outer envelope/layer must:
-Show the recipients name and address.
-Be marked </t>
    </r>
    <r>
      <rPr>
        <b/>
        <sz val="10"/>
        <color indexed="8"/>
        <rFont val="Frutiger 45 Light"/>
      </rPr>
      <t>TO BE OPENED BY ADDRESSEE ONLY</t>
    </r>
    <r>
      <rPr>
        <sz val="10"/>
        <color indexed="8"/>
        <rFont val="Frutiger 45 Light"/>
      </rPr>
      <t xml:space="preserve">
-Show the name and phone number of the sender of the information.
The inner envelope must be labelled </t>
    </r>
    <r>
      <rPr>
        <b/>
        <sz val="10"/>
        <color indexed="8"/>
        <rFont val="Frutiger 45 Light"/>
      </rPr>
      <t>CONFIDENTIAL</t>
    </r>
    <r>
      <rPr>
        <sz val="10"/>
        <color indexed="8"/>
        <rFont val="Frutiger 45 Light"/>
      </rPr>
      <t xml:space="preserve">. </t>
    </r>
  </si>
  <si>
    <t>Impact of unavailability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</si>
</sst>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48">
    <font>
      <sz val="11"/>
      <color theme="1"/>
      <name val="Calibri"/>
      <family val="2"/>
      <scheme val="minor"/>
    </font>
    <font>
      <sz val="10"/>
      <name val="Arial"/>
      <family val="2"/>
    </font>
    <font>
      <sz val="8"/>
      <name val="Arial"/>
      <family val="2"/>
    </font>
    <font>
      <b/>
      <sz val="8"/>
      <name val="Arial"/>
      <family val="2"/>
    </font>
    <font>
      <b/>
      <sz val="8"/>
      <color indexed="8"/>
      <name val="Arial"/>
      <family val="2"/>
    </font>
    <font>
      <b/>
      <sz val="10"/>
      <name val="Arial"/>
      <family val="2"/>
    </font>
    <font>
      <sz val="48"/>
      <name val="Arial"/>
      <family val="2"/>
    </font>
    <font>
      <sz val="8"/>
      <color indexed="8"/>
      <name val="Arial"/>
      <family val="2"/>
    </font>
    <font>
      <u/>
      <sz val="11"/>
      <color indexed="12"/>
      <name val="Calibri"/>
      <family val="2"/>
    </font>
    <font>
      <sz val="10"/>
      <color indexed="9"/>
      <name val="Arial"/>
      <family val="2"/>
    </font>
    <font>
      <b/>
      <sz val="10"/>
      <color indexed="8"/>
      <name val="Frutiger 45 Light"/>
    </font>
    <font>
      <b/>
      <sz val="10"/>
      <name val="Frutiger 45 Light"/>
    </font>
    <font>
      <sz val="8"/>
      <color indexed="8"/>
      <name val="Frutiger 45 Light"/>
    </font>
    <font>
      <sz val="10"/>
      <name val="Frutiger 45 Light"/>
    </font>
    <font>
      <sz val="10"/>
      <color indexed="8"/>
      <name val="Frutiger 45 Light"/>
    </font>
    <font>
      <b/>
      <sz val="14"/>
      <name val="Frutiger 45 Light"/>
    </font>
    <font>
      <b/>
      <sz val="12"/>
      <color indexed="8"/>
      <name val="Frutiger 45 Light"/>
    </font>
    <font>
      <b/>
      <sz val="12"/>
      <name val="Frutiger 45 Light"/>
    </font>
    <font>
      <b/>
      <sz val="12"/>
      <color indexed="8"/>
      <name val="Arial"/>
      <family val="2"/>
    </font>
    <font>
      <b/>
      <sz val="26"/>
      <name val="Frutiger 45 Light"/>
    </font>
    <font>
      <b/>
      <sz val="12"/>
      <color indexed="10"/>
      <name val="Arial"/>
      <family val="2"/>
    </font>
    <font>
      <sz val="10"/>
      <name val="Arial"/>
      <family val="2"/>
    </font>
    <font>
      <sz val="8"/>
      <name val="Tahoma"/>
      <family val="2"/>
    </font>
    <font>
      <b/>
      <sz val="24"/>
      <color indexed="8"/>
      <name val="Perpetua"/>
      <family val="2"/>
    </font>
    <font>
      <sz val="11"/>
      <color indexed="9"/>
      <name val="Perpetua"/>
      <family val="2"/>
    </font>
    <font>
      <b/>
      <sz val="18"/>
      <color indexed="9"/>
      <name val="Arial"/>
      <family val="2"/>
    </font>
    <font>
      <b/>
      <sz val="10"/>
      <color indexed="9"/>
      <name val="Arial"/>
      <family val="2"/>
    </font>
    <font>
      <b/>
      <sz val="8"/>
      <color indexed="9"/>
      <name val="Arial"/>
      <family val="2"/>
    </font>
    <font>
      <sz val="8"/>
      <name val="Arial Narrow"/>
      <family val="2"/>
    </font>
    <font>
      <sz val="8"/>
      <color indexed="9"/>
      <name val="Arial Narrow"/>
      <family val="2"/>
    </font>
    <font>
      <sz val="12"/>
      <name val="Arial"/>
      <family val="2"/>
    </font>
    <font>
      <b/>
      <sz val="12"/>
      <name val="Arial"/>
      <family val="2"/>
    </font>
    <font>
      <b/>
      <sz val="28"/>
      <color indexed="8"/>
      <name val="Arial"/>
      <family val="2"/>
    </font>
    <font>
      <b/>
      <i/>
      <sz val="12"/>
      <name val="Arial"/>
      <family val="2"/>
    </font>
    <font>
      <sz val="12"/>
      <color indexed="10"/>
      <name val="Arial"/>
      <family val="2"/>
    </font>
    <font>
      <i/>
      <sz val="12"/>
      <name val="Arial"/>
      <family val="2"/>
    </font>
    <font>
      <sz val="11"/>
      <name val="Calibri"/>
      <family val="2"/>
    </font>
    <font>
      <sz val="8"/>
      <color indexed="8"/>
      <name val="Calibri"/>
      <family val="2"/>
    </font>
    <font>
      <b/>
      <sz val="16"/>
      <color indexed="8"/>
      <name val="Arial"/>
      <family val="2"/>
    </font>
    <font>
      <sz val="12"/>
      <color indexed="8"/>
      <name val="Arial"/>
      <family val="2"/>
    </font>
    <font>
      <u/>
      <sz val="12"/>
      <color indexed="12"/>
      <name val="Arial"/>
      <family val="2"/>
    </font>
    <font>
      <i/>
      <sz val="11"/>
      <name val="Frutiger 45 Light"/>
    </font>
    <font>
      <i/>
      <sz val="12"/>
      <name val="Frutiger 45 Light"/>
    </font>
    <font>
      <sz val="11"/>
      <name val="Frutiger 45 Light"/>
    </font>
    <font>
      <b/>
      <sz val="16"/>
      <color theme="1"/>
      <name val="Calibri"/>
      <family val="2"/>
      <scheme val="minor"/>
    </font>
    <font>
      <b/>
      <sz val="14"/>
      <color theme="0"/>
      <name val="Frutiger 45 Light"/>
    </font>
    <font>
      <b/>
      <sz val="12"/>
      <color theme="0"/>
      <name val="Frutiger 45 Light"/>
    </font>
    <font>
      <b/>
      <sz val="12"/>
      <color theme="0"/>
      <name val="Arial"/>
      <family val="2"/>
    </font>
  </fonts>
  <fills count="24">
    <fill>
      <patternFill patternType="none"/>
    </fill>
    <fill>
      <patternFill patternType="gray125"/>
    </fill>
    <fill>
      <patternFill patternType="solid">
        <fgColor indexed="22"/>
      </patternFill>
    </fill>
    <fill>
      <patternFill patternType="solid">
        <fgColor indexed="60"/>
      </patternFill>
    </fill>
    <fill>
      <patternFill patternType="solid">
        <fgColor indexed="9"/>
        <bgColor indexed="64"/>
      </patternFill>
    </fill>
    <fill>
      <patternFill patternType="solid">
        <fgColor indexed="22"/>
        <bgColor indexed="64"/>
      </patternFill>
    </fill>
    <fill>
      <patternFill patternType="solid">
        <fgColor indexed="12"/>
        <bgColor indexed="64"/>
      </patternFill>
    </fill>
    <fill>
      <patternFill patternType="solid">
        <fgColor indexed="40"/>
        <bgColor indexed="64"/>
      </patternFill>
    </fill>
    <fill>
      <patternFill patternType="solid">
        <fgColor indexed="62"/>
        <bgColor indexed="64"/>
      </patternFill>
    </fill>
    <fill>
      <patternFill patternType="solid">
        <fgColor indexed="23"/>
        <bgColor indexed="64"/>
      </patternFill>
    </fill>
    <fill>
      <patternFill patternType="solid">
        <fgColor indexed="51"/>
        <bgColor indexed="64"/>
      </patternFill>
    </fill>
    <fill>
      <patternFill patternType="solid">
        <fgColor indexed="43"/>
        <bgColor indexed="64"/>
      </patternFill>
    </fill>
    <fill>
      <patternFill patternType="solid">
        <fgColor indexed="44"/>
        <bgColor indexed="64"/>
      </patternFill>
    </fill>
    <fill>
      <patternFill patternType="solid">
        <fgColor indexed="47"/>
        <bgColor indexed="64"/>
      </patternFill>
    </fill>
    <fill>
      <patternFill patternType="solid">
        <fgColor theme="0"/>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rgb="FF7030A0"/>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6"/>
        <bgColor indexed="64"/>
      </patternFill>
    </fill>
    <fill>
      <patternFill patternType="solid">
        <fgColor theme="3" tint="0.59999389629810485"/>
        <bgColor indexed="64"/>
      </patternFill>
    </fill>
    <fill>
      <patternFill patternType="solid">
        <fgColor rgb="FF92D050"/>
        <bgColor indexed="64"/>
      </patternFill>
    </fill>
  </fills>
  <borders count="73">
    <border>
      <left/>
      <right/>
      <top/>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22"/>
      </bottom>
      <diagonal/>
    </border>
    <border>
      <left style="medium">
        <color indexed="64"/>
      </left>
      <right style="medium">
        <color indexed="64"/>
      </right>
      <top style="medium">
        <color indexed="64"/>
      </top>
      <bottom style="thin">
        <color indexed="22"/>
      </bottom>
      <diagonal/>
    </border>
    <border>
      <left style="medium">
        <color indexed="64"/>
      </left>
      <right/>
      <top/>
      <bottom style="thin">
        <color indexed="22"/>
      </bottom>
      <diagonal/>
    </border>
    <border>
      <left style="medium">
        <color indexed="64"/>
      </left>
      <right style="medium">
        <color indexed="64"/>
      </right>
      <top style="thin">
        <color indexed="22"/>
      </top>
      <bottom style="thin">
        <color indexed="22"/>
      </bottom>
      <diagonal/>
    </border>
    <border>
      <left style="medium">
        <color indexed="64"/>
      </left>
      <right/>
      <top style="thin">
        <color indexed="22"/>
      </top>
      <bottom style="thin">
        <color indexed="22"/>
      </bottom>
      <diagonal/>
    </border>
    <border>
      <left style="medium">
        <color indexed="64"/>
      </left>
      <right/>
      <top style="thin">
        <color indexed="22"/>
      </top>
      <bottom style="medium">
        <color indexed="64"/>
      </bottom>
      <diagonal/>
    </border>
    <border>
      <left style="medium">
        <color indexed="64"/>
      </left>
      <right style="medium">
        <color indexed="64"/>
      </right>
      <top style="thin">
        <color indexed="22"/>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top/>
      <bottom style="thin">
        <color indexed="64"/>
      </bottom>
      <diagonal/>
    </border>
    <border>
      <left/>
      <right/>
      <top style="medium">
        <color indexed="64"/>
      </top>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s>
  <cellStyleXfs count="11">
    <xf numFmtId="0" fontId="0" fillId="0" borderId="0"/>
    <xf numFmtId="0" fontId="23" fillId="2" borderId="0"/>
    <xf numFmtId="0" fontId="24" fillId="3" borderId="0"/>
    <xf numFmtId="0" fontId="8"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21" fillId="0" borderId="0"/>
    <xf numFmtId="0" fontId="13" fillId="0" borderId="0"/>
    <xf numFmtId="0" fontId="21" fillId="0" borderId="0"/>
  </cellStyleXfs>
  <cellXfs count="357">
    <xf numFmtId="0" fontId="0" fillId="0" borderId="0" xfId="0"/>
    <xf numFmtId="0" fontId="7" fillId="0" borderId="0" xfId="0" applyFont="1"/>
    <xf numFmtId="0" fontId="1" fillId="0" borderId="0" xfId="4"/>
    <xf numFmtId="0" fontId="5" fillId="0" borderId="0" xfId="4" applyFont="1" applyAlignment="1">
      <alignment horizontal="left" vertical="top" wrapText="1"/>
    </xf>
    <xf numFmtId="0" fontId="7" fillId="4" borderId="0" xfId="0" applyFont="1" applyFill="1"/>
    <xf numFmtId="0" fontId="0" fillId="0" borderId="0" xfId="0" applyAlignment="1">
      <alignment vertical="top"/>
    </xf>
    <xf numFmtId="0" fontId="1" fillId="0" borderId="0" xfId="4" applyAlignment="1">
      <alignment vertical="top"/>
    </xf>
    <xf numFmtId="0" fontId="7" fillId="4" borderId="0" xfId="0" applyFont="1" applyFill="1" applyBorder="1"/>
    <xf numFmtId="0" fontId="1" fillId="4" borderId="0" xfId="4" applyFill="1" applyAlignment="1">
      <alignment vertical="top"/>
    </xf>
    <xf numFmtId="0" fontId="6" fillId="4" borderId="0" xfId="4" applyFont="1" applyFill="1" applyAlignment="1">
      <alignment horizontal="left" vertical="top"/>
    </xf>
    <xf numFmtId="0" fontId="1" fillId="4" borderId="0" xfId="4" applyFill="1" applyAlignment="1">
      <alignment horizontal="center" vertical="top"/>
    </xf>
    <xf numFmtId="0" fontId="20" fillId="5" borderId="1" xfId="4" applyFont="1" applyFill="1" applyBorder="1" applyAlignment="1">
      <alignment horizontal="center" vertical="top" textRotation="180" wrapText="1"/>
    </xf>
    <xf numFmtId="0" fontId="25" fillId="6" borderId="0" xfId="10" applyFont="1" applyFill="1" applyAlignment="1">
      <alignment vertical="center"/>
    </xf>
    <xf numFmtId="0" fontId="21" fillId="6" borderId="0" xfId="10" applyFill="1" applyProtection="1">
      <protection locked="0"/>
    </xf>
    <xf numFmtId="0" fontId="26" fillId="7" borderId="0" xfId="10" applyFont="1" applyFill="1" applyProtection="1">
      <protection locked="0"/>
    </xf>
    <xf numFmtId="0" fontId="21" fillId="7" borderId="0" xfId="10" applyFill="1" applyProtection="1">
      <protection locked="0"/>
    </xf>
    <xf numFmtId="0" fontId="5" fillId="4" borderId="0" xfId="10" applyFont="1" applyFill="1" applyProtection="1">
      <protection locked="0"/>
    </xf>
    <xf numFmtId="0" fontId="9" fillId="4" borderId="0" xfId="10" applyFont="1" applyFill="1" applyAlignment="1" applyProtection="1">
      <alignment horizontal="center"/>
      <protection locked="0"/>
    </xf>
    <xf numFmtId="0" fontId="21" fillId="4" borderId="0" xfId="10" applyFill="1" applyProtection="1">
      <protection locked="0"/>
    </xf>
    <xf numFmtId="0" fontId="27" fillId="8" borderId="2" xfId="10" applyFont="1" applyFill="1" applyBorder="1" applyAlignment="1" applyProtection="1">
      <alignment horizontal="left"/>
      <protection locked="0"/>
    </xf>
    <xf numFmtId="17" fontId="27" fillId="8" borderId="4" xfId="10" applyNumberFormat="1" applyFont="1" applyFill="1" applyBorder="1" applyAlignment="1" applyProtection="1">
      <alignment horizontal="center"/>
      <protection locked="0"/>
    </xf>
    <xf numFmtId="0" fontId="28" fillId="4" borderId="5" xfId="10" applyFont="1" applyFill="1" applyBorder="1" applyAlignment="1" applyProtection="1">
      <alignment horizontal="left" vertical="top"/>
      <protection locked="0"/>
    </xf>
    <xf numFmtId="0" fontId="29" fillId="9" borderId="6" xfId="10" applyFont="1" applyFill="1" applyBorder="1" applyAlignment="1" applyProtection="1">
      <alignment horizontal="center" vertical="top"/>
      <protection locked="0"/>
    </xf>
    <xf numFmtId="0" fontId="28" fillId="4" borderId="7" xfId="10" applyFont="1" applyFill="1" applyBorder="1" applyAlignment="1" applyProtection="1">
      <alignment horizontal="left" vertical="top"/>
      <protection locked="0"/>
    </xf>
    <xf numFmtId="0" fontId="29" fillId="9" borderId="8" xfId="10" applyFont="1" applyFill="1" applyBorder="1" applyAlignment="1" applyProtection="1">
      <alignment horizontal="center" vertical="top"/>
      <protection locked="0"/>
    </xf>
    <xf numFmtId="0" fontId="28" fillId="4" borderId="9" xfId="10" applyFont="1" applyFill="1" applyBorder="1" applyAlignment="1" applyProtection="1">
      <alignment horizontal="left" vertical="top"/>
      <protection locked="0"/>
    </xf>
    <xf numFmtId="0" fontId="28" fillId="4" borderId="10" xfId="10" applyFont="1" applyFill="1" applyBorder="1" applyAlignment="1" applyProtection="1">
      <alignment horizontal="left" vertical="top"/>
      <protection locked="0"/>
    </xf>
    <xf numFmtId="0" fontId="29" fillId="9" borderId="11" xfId="10" applyFont="1" applyFill="1" applyBorder="1" applyAlignment="1" applyProtection="1">
      <alignment horizontal="center" vertical="top"/>
      <protection locked="0"/>
    </xf>
    <xf numFmtId="9" fontId="5" fillId="4" borderId="0" xfId="10" applyNumberFormat="1" applyFont="1" applyFill="1" applyAlignment="1" applyProtection="1">
      <alignment horizontal="left"/>
      <protection locked="0"/>
    </xf>
    <xf numFmtId="9" fontId="21" fillId="4" borderId="0" xfId="10" applyNumberFormat="1" applyFill="1" applyProtection="1">
      <protection locked="0"/>
    </xf>
    <xf numFmtId="0" fontId="30" fillId="4" borderId="0" xfId="4" applyFont="1" applyFill="1" applyBorder="1" applyAlignment="1">
      <alignment horizontal="left" vertical="top" wrapText="1"/>
    </xf>
    <xf numFmtId="0" fontId="31" fillId="4" borderId="0" xfId="4" applyFont="1" applyFill="1" applyBorder="1" applyAlignment="1">
      <alignment horizontal="left" vertical="top" wrapText="1"/>
    </xf>
    <xf numFmtId="0" fontId="31" fillId="10" borderId="4" xfId="4" applyFont="1" applyFill="1" applyBorder="1" applyAlignment="1">
      <alignment horizontal="center" vertical="top" wrapText="1"/>
    </xf>
    <xf numFmtId="0" fontId="31" fillId="11" borderId="12" xfId="4" applyFont="1" applyFill="1" applyBorder="1" applyAlignment="1">
      <alignment horizontal="left" vertical="top" wrapText="1"/>
    </xf>
    <xf numFmtId="0" fontId="31" fillId="11" borderId="13" xfId="4" applyFont="1" applyFill="1" applyBorder="1" applyAlignment="1">
      <alignment horizontal="left" vertical="top" wrapText="1"/>
    </xf>
    <xf numFmtId="0" fontId="31" fillId="11" borderId="14" xfId="4" applyFont="1" applyFill="1" applyBorder="1" applyAlignment="1">
      <alignment horizontal="left" vertical="top" wrapText="1"/>
    </xf>
    <xf numFmtId="0" fontId="31" fillId="10" borderId="4" xfId="4" applyFont="1" applyFill="1" applyBorder="1" applyAlignment="1">
      <alignment horizontal="left" vertical="top" wrapText="1"/>
    </xf>
    <xf numFmtId="0" fontId="30" fillId="5" borderId="15" xfId="4" applyFont="1" applyFill="1" applyBorder="1" applyAlignment="1">
      <alignment horizontal="center" vertical="top" wrapText="1"/>
    </xf>
    <xf numFmtId="0" fontId="30" fillId="5" borderId="16" xfId="4" applyFont="1" applyFill="1" applyBorder="1" applyAlignment="1">
      <alignment horizontal="left" vertical="top" wrapText="1"/>
    </xf>
    <xf numFmtId="0" fontId="30" fillId="5" borderId="17" xfId="4" applyFont="1" applyFill="1" applyBorder="1" applyAlignment="1">
      <alignment horizontal="left" vertical="top" wrapText="1"/>
    </xf>
    <xf numFmtId="0" fontId="30" fillId="5" borderId="18" xfId="4" applyFont="1" applyFill="1" applyBorder="1" applyAlignment="1">
      <alignment horizontal="left" vertical="top" wrapText="1"/>
    </xf>
    <xf numFmtId="0" fontId="30" fillId="4" borderId="0" xfId="4" applyFont="1" applyFill="1" applyBorder="1" applyAlignment="1">
      <alignment horizontal="center" vertical="top" wrapText="1"/>
    </xf>
    <xf numFmtId="0" fontId="30" fillId="5" borderId="19" xfId="4" applyFont="1" applyFill="1" applyBorder="1" applyAlignment="1">
      <alignment horizontal="left" vertical="top" wrapText="1"/>
    </xf>
    <xf numFmtId="0" fontId="31" fillId="5" borderId="20" xfId="4" applyFont="1" applyFill="1" applyBorder="1" applyAlignment="1">
      <alignment horizontal="center" vertical="top" wrapText="1"/>
    </xf>
    <xf numFmtId="0" fontId="30" fillId="0" borderId="21" xfId="4" applyFont="1" applyBorder="1" applyAlignment="1" applyProtection="1">
      <alignment horizontal="left" vertical="top" wrapText="1"/>
      <protection locked="0"/>
    </xf>
    <xf numFmtId="0" fontId="30" fillId="0" borderId="22" xfId="4" applyFont="1" applyBorder="1" applyAlignment="1" applyProtection="1">
      <alignment horizontal="left" vertical="top" wrapText="1"/>
      <protection locked="0"/>
    </xf>
    <xf numFmtId="0" fontId="30" fillId="12" borderId="23" xfId="4" applyFont="1" applyFill="1" applyBorder="1" applyAlignment="1" applyProtection="1">
      <alignment vertical="top" wrapText="1"/>
      <protection locked="0"/>
    </xf>
    <xf numFmtId="0" fontId="30" fillId="0" borderId="24" xfId="4" applyFont="1" applyBorder="1" applyAlignment="1" applyProtection="1">
      <alignment horizontal="left" vertical="top" wrapText="1"/>
      <protection locked="0"/>
    </xf>
    <xf numFmtId="0" fontId="30" fillId="0" borderId="21" xfId="4" applyFont="1" applyBorder="1" applyAlignment="1" applyProtection="1">
      <alignment horizontal="center" vertical="top" wrapText="1"/>
      <protection locked="0"/>
    </xf>
    <xf numFmtId="0" fontId="30" fillId="0" borderId="22" xfId="4" applyFont="1" applyBorder="1" applyAlignment="1" applyProtection="1">
      <alignment horizontal="center" vertical="center" wrapText="1"/>
      <protection locked="0"/>
    </xf>
    <xf numFmtId="0" fontId="30" fillId="5" borderId="25" xfId="4" applyFont="1" applyFill="1" applyBorder="1" applyAlignment="1" applyProtection="1">
      <alignment horizontal="left" vertical="top" wrapText="1"/>
      <protection locked="0"/>
    </xf>
    <xf numFmtId="0" fontId="30" fillId="0" borderId="26" xfId="4" applyFont="1" applyFill="1" applyBorder="1" applyAlignment="1" applyProtection="1">
      <alignment horizontal="left" vertical="top" wrapText="1"/>
      <protection locked="0"/>
    </xf>
    <xf numFmtId="0" fontId="30" fillId="5" borderId="27" xfId="4" applyFont="1" applyFill="1" applyBorder="1" applyAlignment="1" applyProtection="1">
      <alignment horizontal="left" vertical="top" wrapText="1"/>
      <protection locked="0"/>
    </xf>
    <xf numFmtId="0" fontId="30" fillId="0" borderId="20" xfId="4" applyFont="1" applyFill="1" applyBorder="1" applyAlignment="1" applyProtection="1">
      <alignment horizontal="left" vertical="top" wrapText="1"/>
      <protection locked="0"/>
    </xf>
    <xf numFmtId="0" fontId="31" fillId="10" borderId="4" xfId="4" applyFont="1" applyFill="1" applyBorder="1" applyAlignment="1">
      <alignment vertical="top" wrapText="1"/>
    </xf>
    <xf numFmtId="0" fontId="30" fillId="5" borderId="25" xfId="4" applyFont="1" applyFill="1" applyBorder="1" applyAlignment="1">
      <alignment horizontal="left" vertical="top" wrapText="1"/>
    </xf>
    <xf numFmtId="0" fontId="20" fillId="5" borderId="27" xfId="4" applyFont="1" applyFill="1" applyBorder="1" applyAlignment="1" applyProtection="1">
      <alignment horizontal="left" vertical="top" wrapText="1"/>
      <protection locked="0"/>
    </xf>
    <xf numFmtId="0" fontId="30" fillId="12" borderId="28" xfId="4" applyFont="1" applyFill="1" applyBorder="1" applyAlignment="1">
      <alignment vertical="top" wrapText="1"/>
    </xf>
    <xf numFmtId="0" fontId="30" fillId="5" borderId="0" xfId="4" applyFont="1" applyFill="1" applyBorder="1" applyAlignment="1">
      <alignment horizontal="left" vertical="top" wrapText="1"/>
    </xf>
    <xf numFmtId="0" fontId="30" fillId="5" borderId="29" xfId="4" applyFont="1" applyFill="1" applyBorder="1" applyAlignment="1">
      <alignment horizontal="left" vertical="top" wrapText="1"/>
    </xf>
    <xf numFmtId="0" fontId="30" fillId="5" borderId="30" xfId="4" applyFont="1" applyFill="1" applyBorder="1" applyAlignment="1">
      <alignment horizontal="center" vertical="top" wrapText="1"/>
    </xf>
    <xf numFmtId="0" fontId="30" fillId="5" borderId="31" xfId="4" applyFont="1" applyFill="1" applyBorder="1" applyAlignment="1">
      <alignment horizontal="center" vertical="top" wrapText="1"/>
    </xf>
    <xf numFmtId="0" fontId="30" fillId="5" borderId="32" xfId="4" applyFont="1" applyFill="1" applyBorder="1" applyAlignment="1">
      <alignment horizontal="center" vertical="top" wrapText="1"/>
    </xf>
    <xf numFmtId="0" fontId="31" fillId="11" borderId="33" xfId="4" applyFont="1" applyFill="1" applyBorder="1" applyAlignment="1">
      <alignment horizontal="left" vertical="top" wrapText="1"/>
    </xf>
    <xf numFmtId="0" fontId="31" fillId="11" borderId="34" xfId="4" applyFont="1" applyFill="1" applyBorder="1" applyAlignment="1">
      <alignment horizontal="left" vertical="top" wrapText="1"/>
    </xf>
    <xf numFmtId="0" fontId="12" fillId="4" borderId="0" xfId="0" applyFont="1" applyFill="1" applyBorder="1" applyAlignment="1">
      <alignment horizontal="center"/>
    </xf>
    <xf numFmtId="0" fontId="21" fillId="0" borderId="0" xfId="8"/>
    <xf numFmtId="0" fontId="30" fillId="0" borderId="24" xfId="4" applyFont="1" applyBorder="1" applyAlignment="1" applyProtection="1">
      <alignment horizontal="center" vertical="center" wrapText="1"/>
      <protection locked="0"/>
    </xf>
    <xf numFmtId="0" fontId="30" fillId="0" borderId="21" xfId="4" applyFont="1" applyBorder="1" applyAlignment="1" applyProtection="1">
      <alignment horizontal="center" vertical="center" wrapText="1"/>
      <protection locked="0"/>
    </xf>
    <xf numFmtId="0" fontId="31" fillId="11" borderId="35" xfId="4" applyFont="1" applyFill="1" applyBorder="1" applyAlignment="1">
      <alignment horizontal="left" vertical="top" wrapText="1"/>
    </xf>
    <xf numFmtId="0" fontId="31" fillId="11" borderId="36" xfId="4" applyFont="1" applyFill="1" applyBorder="1" applyAlignment="1">
      <alignment horizontal="left" vertical="top" wrapText="1"/>
    </xf>
    <xf numFmtId="0" fontId="31" fillId="11" borderId="4" xfId="4" applyFont="1" applyFill="1" applyBorder="1" applyAlignment="1">
      <alignment horizontal="center" vertical="top" wrapText="1"/>
    </xf>
    <xf numFmtId="0" fontId="30" fillId="5" borderId="29" xfId="4" applyFont="1" applyFill="1" applyBorder="1" applyAlignment="1">
      <alignment horizontal="center" vertical="top" wrapText="1"/>
    </xf>
    <xf numFmtId="0" fontId="31" fillId="13" borderId="37" xfId="4" applyFont="1" applyFill="1" applyBorder="1" applyAlignment="1">
      <alignment horizontal="left" vertical="top" wrapText="1"/>
    </xf>
    <xf numFmtId="0" fontId="31" fillId="13" borderId="38" xfId="4" applyFont="1" applyFill="1" applyBorder="1" applyAlignment="1">
      <alignment horizontal="left" vertical="top" wrapText="1"/>
    </xf>
    <xf numFmtId="0" fontId="31" fillId="0" borderId="0" xfId="4" applyFont="1" applyFill="1" applyBorder="1" applyAlignment="1">
      <alignment horizontal="center" vertical="top" wrapText="1"/>
    </xf>
    <xf numFmtId="0" fontId="30" fillId="0" borderId="0" xfId="4" applyFont="1" applyFill="1" applyBorder="1" applyAlignment="1" applyProtection="1">
      <alignment horizontal="left" vertical="top" wrapText="1"/>
      <protection locked="0"/>
    </xf>
    <xf numFmtId="0" fontId="30" fillId="0" borderId="0" xfId="4" applyFont="1" applyFill="1" applyBorder="1" applyAlignment="1" applyProtection="1">
      <alignment vertical="top" wrapText="1"/>
      <protection locked="0"/>
    </xf>
    <xf numFmtId="0" fontId="30" fillId="0" borderId="0" xfId="4" applyFont="1" applyFill="1" applyBorder="1" applyAlignment="1" applyProtection="1">
      <alignment horizontal="center" vertical="top" wrapText="1"/>
      <protection locked="0"/>
    </xf>
    <xf numFmtId="0" fontId="30" fillId="0" borderId="0" xfId="4" applyFont="1" applyFill="1" applyBorder="1" applyAlignment="1" applyProtection="1">
      <alignment horizontal="center" vertical="center" wrapText="1"/>
      <protection locked="0"/>
    </xf>
    <xf numFmtId="0" fontId="21" fillId="0" borderId="0" xfId="8" applyFill="1" applyBorder="1"/>
    <xf numFmtId="0" fontId="21" fillId="0" borderId="0" xfId="8" applyBorder="1"/>
    <xf numFmtId="0" fontId="5" fillId="4" borderId="0" xfId="4" applyFont="1" applyFill="1" applyBorder="1" applyAlignment="1">
      <alignment vertical="top" wrapText="1"/>
    </xf>
    <xf numFmtId="0" fontId="3" fillId="4" borderId="0" xfId="4" applyFont="1" applyFill="1" applyBorder="1" applyAlignment="1">
      <alignment horizontal="left" vertical="top" wrapText="1"/>
    </xf>
    <xf numFmtId="0" fontId="31" fillId="5" borderId="4" xfId="4" applyFont="1" applyFill="1" applyBorder="1" applyAlignment="1">
      <alignment horizontal="left" vertical="top" wrapText="1"/>
    </xf>
    <xf numFmtId="0" fontId="17" fillId="4" borderId="0" xfId="0" applyFont="1" applyFill="1" applyBorder="1" applyAlignment="1">
      <alignment horizontal="center"/>
    </xf>
    <xf numFmtId="0" fontId="13" fillId="4" borderId="0" xfId="6" applyFont="1" applyFill="1" applyBorder="1" applyAlignment="1">
      <alignment horizontal="left" vertical="top" wrapText="1" shrinkToFit="1"/>
    </xf>
    <xf numFmtId="0" fontId="13" fillId="4" borderId="0" xfId="6" quotePrefix="1" applyFont="1" applyFill="1" applyBorder="1" applyAlignment="1">
      <alignment horizontal="left" vertical="top" wrapText="1" shrinkToFit="1"/>
    </xf>
    <xf numFmtId="0" fontId="21" fillId="0" borderId="0" xfId="8" applyProtection="1">
      <protection locked="0"/>
    </xf>
    <xf numFmtId="0" fontId="21" fillId="0" borderId="0" xfId="8" applyAlignment="1" applyProtection="1">
      <alignment wrapText="1"/>
      <protection locked="0"/>
    </xf>
    <xf numFmtId="0" fontId="21" fillId="0" borderId="0" xfId="8" applyAlignment="1" applyProtection="1">
      <alignment horizontal="center"/>
      <protection locked="0"/>
    </xf>
    <xf numFmtId="15" fontId="21" fillId="0" borderId="0" xfId="8" applyNumberFormat="1" applyAlignment="1" applyProtection="1">
      <alignment horizontal="center"/>
      <protection locked="0"/>
    </xf>
    <xf numFmtId="0" fontId="21" fillId="0" borderId="0" xfId="8" applyBorder="1" applyProtection="1">
      <protection locked="0"/>
    </xf>
    <xf numFmtId="0" fontId="2" fillId="12" borderId="23" xfId="4" applyFont="1" applyFill="1" applyBorder="1" applyAlignment="1">
      <alignment horizontal="center" vertical="top" wrapText="1"/>
    </xf>
    <xf numFmtId="0" fontId="2" fillId="0" borderId="21" xfId="4" applyFont="1" applyFill="1" applyBorder="1" applyAlignment="1">
      <alignment horizontal="center" vertical="top" wrapText="1"/>
    </xf>
    <xf numFmtId="0" fontId="2" fillId="0" borderId="21" xfId="4" applyFont="1" applyFill="1" applyBorder="1" applyAlignment="1">
      <alignment horizontal="left" vertical="top" wrapText="1"/>
    </xf>
    <xf numFmtId="0" fontId="2" fillId="0" borderId="26" xfId="4" applyFont="1" applyFill="1" applyBorder="1" applyAlignment="1">
      <alignment horizontal="center" vertical="top" wrapText="1"/>
    </xf>
    <xf numFmtId="0" fontId="30" fillId="0" borderId="41" xfId="4" applyFont="1" applyFill="1" applyBorder="1" applyAlignment="1" applyProtection="1">
      <alignment horizontal="center" vertical="center" wrapText="1"/>
      <protection locked="0"/>
    </xf>
    <xf numFmtId="0" fontId="2" fillId="0" borderId="20" xfId="4" applyFont="1" applyFill="1" applyBorder="1" applyAlignment="1">
      <alignment horizontal="left" vertical="top" wrapText="1"/>
    </xf>
    <xf numFmtId="0" fontId="2" fillId="0" borderId="26" xfId="4" applyFont="1" applyFill="1" applyBorder="1" applyAlignment="1">
      <alignment vertical="top" wrapText="1"/>
    </xf>
    <xf numFmtId="0" fontId="36" fillId="0" borderId="0" xfId="0" applyFont="1"/>
    <xf numFmtId="0" fontId="2" fillId="5" borderId="27" xfId="4" applyFont="1" applyFill="1" applyBorder="1" applyAlignment="1" applyProtection="1">
      <alignment horizontal="left" vertical="top" wrapText="1"/>
      <protection locked="0"/>
    </xf>
    <xf numFmtId="0" fontId="37" fillId="0" borderId="0" xfId="0" applyFont="1"/>
    <xf numFmtId="0" fontId="2" fillId="0" borderId="0" xfId="4" applyFont="1"/>
    <xf numFmtId="0" fontId="30" fillId="12" borderId="23" xfId="4" applyFont="1" applyFill="1" applyBorder="1" applyAlignment="1" applyProtection="1">
      <alignment horizontal="center" vertical="top" wrapText="1"/>
      <protection locked="0"/>
    </xf>
    <xf numFmtId="0" fontId="1" fillId="14" borderId="0" xfId="4" applyFill="1" applyAlignment="1">
      <alignment vertical="top"/>
    </xf>
    <xf numFmtId="0" fontId="31" fillId="14" borderId="0" xfId="4" applyFont="1" applyFill="1" applyBorder="1" applyAlignment="1">
      <alignment horizontal="left" vertical="top" wrapText="1"/>
    </xf>
    <xf numFmtId="0" fontId="31" fillId="14" borderId="42" xfId="4" applyFont="1" applyFill="1" applyBorder="1" applyAlignment="1">
      <alignment horizontal="left" vertical="top" wrapText="1"/>
    </xf>
    <xf numFmtId="0" fontId="30" fillId="14" borderId="0" xfId="4" applyFont="1" applyFill="1" applyBorder="1" applyAlignment="1">
      <alignment horizontal="center" vertical="top" wrapText="1"/>
    </xf>
    <xf numFmtId="0" fontId="2" fillId="14" borderId="0" xfId="4" applyFont="1" applyFill="1" applyBorder="1" applyAlignment="1">
      <alignment horizontal="center" vertical="top" wrapText="1"/>
    </xf>
    <xf numFmtId="0" fontId="0" fillId="14" borderId="0" xfId="0" applyFill="1"/>
    <xf numFmtId="0" fontId="30" fillId="5" borderId="43" xfId="4" applyFont="1" applyFill="1" applyBorder="1" applyAlignment="1">
      <alignment horizontal="center" vertical="top" wrapText="1"/>
    </xf>
    <xf numFmtId="0" fontId="0" fillId="0" borderId="0" xfId="0"/>
    <xf numFmtId="0" fontId="30" fillId="0" borderId="21" xfId="4" applyFont="1" applyFill="1" applyBorder="1" applyAlignment="1" applyProtection="1">
      <alignment horizontal="center" vertical="top" wrapText="1"/>
      <protection locked="0"/>
    </xf>
    <xf numFmtId="0" fontId="30" fillId="0" borderId="21" xfId="4" applyFont="1" applyFill="1" applyBorder="1" applyAlignment="1" applyProtection="1">
      <alignment horizontal="left" vertical="top" wrapText="1"/>
      <protection locked="0"/>
    </xf>
    <xf numFmtId="0" fontId="30" fillId="0" borderId="22" xfId="4" applyFont="1" applyFill="1" applyBorder="1" applyAlignment="1" applyProtection="1">
      <alignment horizontal="left" vertical="top" wrapText="1"/>
      <protection locked="0"/>
    </xf>
    <xf numFmtId="0" fontId="30" fillId="0" borderId="26" xfId="4" applyFont="1" applyFill="1" applyBorder="1" applyAlignment="1" applyProtection="1">
      <alignment vertical="top" wrapText="1"/>
      <protection locked="0"/>
    </xf>
    <xf numFmtId="0" fontId="7" fillId="4" borderId="0" xfId="0" applyFont="1" applyFill="1" applyAlignment="1">
      <alignment vertical="center"/>
    </xf>
    <xf numFmtId="0" fontId="14" fillId="4" borderId="0" xfId="0" applyFont="1" applyFill="1" applyBorder="1" applyAlignment="1">
      <alignment horizontal="left" vertical="center" wrapText="1" shrinkToFit="1"/>
    </xf>
    <xf numFmtId="0" fontId="12" fillId="4" borderId="0" xfId="0" applyFont="1" applyFill="1" applyBorder="1" applyAlignment="1">
      <alignment horizontal="center" vertical="center"/>
    </xf>
    <xf numFmtId="0" fontId="7" fillId="0" borderId="0" xfId="0" applyFont="1" applyAlignment="1">
      <alignment vertical="center"/>
    </xf>
    <xf numFmtId="0" fontId="17" fillId="4" borderId="0" xfId="0" applyFont="1" applyFill="1" applyBorder="1" applyAlignment="1">
      <alignment horizontal="center" vertical="center"/>
    </xf>
    <xf numFmtId="0" fontId="7" fillId="14" borderId="0" xfId="0" applyFont="1" applyFill="1" applyBorder="1"/>
    <xf numFmtId="0" fontId="7" fillId="14" borderId="17" xfId="0" applyFont="1" applyFill="1" applyBorder="1" applyAlignment="1">
      <alignment horizontal="center"/>
    </xf>
    <xf numFmtId="0" fontId="7" fillId="14" borderId="0" xfId="0" applyFont="1" applyFill="1" applyBorder="1" applyProtection="1"/>
    <xf numFmtId="0" fontId="7" fillId="14" borderId="20" xfId="0" applyFont="1" applyFill="1" applyBorder="1" applyAlignment="1">
      <alignment horizontal="center"/>
    </xf>
    <xf numFmtId="0" fontId="7" fillId="14" borderId="51" xfId="0" applyFont="1" applyFill="1" applyBorder="1" applyAlignment="1">
      <alignment horizontal="center"/>
    </xf>
    <xf numFmtId="0" fontId="32" fillId="14" borderId="0" xfId="0" applyFont="1" applyFill="1" applyBorder="1" applyAlignment="1">
      <alignment vertical="top" wrapText="1"/>
    </xf>
    <xf numFmtId="0" fontId="7" fillId="14" borderId="18" xfId="0" applyFont="1" applyFill="1" applyBorder="1" applyProtection="1"/>
    <xf numFmtId="164" fontId="7" fillId="14" borderId="46" xfId="0" applyNumberFormat="1" applyFont="1" applyFill="1" applyBorder="1" applyAlignment="1" applyProtection="1">
      <alignment horizontal="left"/>
    </xf>
    <xf numFmtId="0" fontId="31" fillId="19" borderId="12" xfId="4" applyFont="1" applyFill="1" applyBorder="1" applyAlignment="1">
      <alignment horizontal="left" vertical="top" wrapText="1"/>
    </xf>
    <xf numFmtId="0" fontId="31" fillId="19" borderId="13" xfId="4" applyFont="1" applyFill="1" applyBorder="1" applyAlignment="1">
      <alignment horizontal="left" vertical="top" wrapText="1"/>
    </xf>
    <xf numFmtId="0" fontId="31" fillId="19" borderId="14" xfId="4" applyFont="1" applyFill="1" applyBorder="1" applyAlignment="1">
      <alignment horizontal="left" vertical="top" wrapText="1"/>
    </xf>
    <xf numFmtId="0" fontId="31" fillId="19" borderId="35" xfId="4" applyFont="1" applyFill="1" applyBorder="1" applyAlignment="1">
      <alignment horizontal="left" vertical="top" wrapText="1"/>
    </xf>
    <xf numFmtId="0" fontId="31" fillId="19" borderId="36" xfId="4" applyFont="1" applyFill="1" applyBorder="1" applyAlignment="1">
      <alignment horizontal="left" vertical="top" wrapText="1"/>
    </xf>
    <xf numFmtId="0" fontId="31" fillId="19" borderId="33" xfId="4" applyFont="1" applyFill="1" applyBorder="1" applyAlignment="1">
      <alignment horizontal="left" vertical="top" wrapText="1"/>
    </xf>
    <xf numFmtId="0" fontId="31" fillId="19" borderId="34" xfId="4" applyFont="1" applyFill="1" applyBorder="1" applyAlignment="1">
      <alignment horizontal="left" vertical="top" wrapText="1"/>
    </xf>
    <xf numFmtId="0" fontId="31" fillId="19" borderId="4" xfId="4" applyFont="1" applyFill="1" applyBorder="1" applyAlignment="1">
      <alignment horizontal="center" vertical="top" wrapText="1"/>
    </xf>
    <xf numFmtId="0" fontId="31" fillId="20" borderId="4" xfId="4" applyFont="1" applyFill="1" applyBorder="1" applyAlignment="1">
      <alignment horizontal="left" vertical="top" wrapText="1"/>
    </xf>
    <xf numFmtId="0" fontId="31" fillId="20" borderId="4" xfId="4" applyFont="1" applyFill="1" applyBorder="1" applyAlignment="1">
      <alignment horizontal="center" vertical="top" wrapText="1"/>
    </xf>
    <xf numFmtId="0" fontId="31" fillId="20" borderId="4" xfId="4" applyFont="1" applyFill="1" applyBorder="1" applyAlignment="1">
      <alignment vertical="top" wrapText="1"/>
    </xf>
    <xf numFmtId="0" fontId="31" fillId="15" borderId="37" xfId="4" applyFont="1" applyFill="1" applyBorder="1" applyAlignment="1">
      <alignment horizontal="left" vertical="top" wrapText="1"/>
    </xf>
    <xf numFmtId="0" fontId="31" fillId="15" borderId="38" xfId="4" applyFont="1" applyFill="1" applyBorder="1" applyAlignment="1">
      <alignment horizontal="left" vertical="top" wrapText="1"/>
    </xf>
    <xf numFmtId="0" fontId="31" fillId="21" borderId="4" xfId="4" applyFont="1" applyFill="1" applyBorder="1" applyAlignment="1">
      <alignment horizontal="left" vertical="top" wrapText="1"/>
    </xf>
    <xf numFmtId="0" fontId="31" fillId="22" borderId="1" xfId="4" applyFont="1" applyFill="1" applyBorder="1" applyAlignment="1">
      <alignment horizontal="left" vertical="top" wrapText="1"/>
    </xf>
    <xf numFmtId="0" fontId="31" fillId="22" borderId="37" xfId="4" applyFont="1" applyFill="1" applyBorder="1" applyAlignment="1">
      <alignment horizontal="left" vertical="top" wrapText="1"/>
    </xf>
    <xf numFmtId="0" fontId="31" fillId="22" borderId="40" xfId="4" applyFont="1" applyFill="1" applyBorder="1" applyAlignment="1">
      <alignment horizontal="left" vertical="top" wrapText="1"/>
    </xf>
    <xf numFmtId="0" fontId="31" fillId="22" borderId="3" xfId="4" applyFont="1" applyFill="1" applyBorder="1" applyAlignment="1">
      <alignment horizontal="left" vertical="top" wrapText="1"/>
    </xf>
    <xf numFmtId="0" fontId="31" fillId="22" borderId="34" xfId="4" applyFont="1" applyFill="1" applyBorder="1" applyAlignment="1">
      <alignment horizontal="left" vertical="top" wrapText="1"/>
    </xf>
    <xf numFmtId="0" fontId="31" fillId="22" borderId="33" xfId="4" applyFont="1" applyFill="1" applyBorder="1" applyAlignment="1">
      <alignment horizontal="left" vertical="top" wrapText="1"/>
    </xf>
    <xf numFmtId="0" fontId="31" fillId="22" borderId="38" xfId="4" applyFont="1" applyFill="1" applyBorder="1" applyAlignment="1">
      <alignment horizontal="left" vertical="top" wrapText="1"/>
    </xf>
    <xf numFmtId="0" fontId="31" fillId="22" borderId="4" xfId="4" applyFont="1" applyFill="1" applyBorder="1" applyAlignment="1">
      <alignment horizontal="left" vertical="top" wrapText="1"/>
    </xf>
    <xf numFmtId="0" fontId="0" fillId="22" borderId="0" xfId="0" applyFill="1"/>
    <xf numFmtId="0" fontId="5" fillId="22" borderId="0" xfId="4" applyFont="1" applyFill="1" applyAlignment="1">
      <alignment horizontal="left" vertical="top" wrapText="1"/>
    </xf>
    <xf numFmtId="0" fontId="31" fillId="22" borderId="39" xfId="4" applyFont="1" applyFill="1" applyBorder="1" applyAlignment="1">
      <alignment horizontal="center" vertical="top" wrapText="1"/>
    </xf>
    <xf numFmtId="0" fontId="31" fillId="22" borderId="39" xfId="4" applyFont="1" applyFill="1" applyBorder="1" applyAlignment="1">
      <alignment vertical="top" wrapText="1"/>
    </xf>
    <xf numFmtId="0" fontId="31" fillId="22" borderId="1" xfId="4" applyFont="1" applyFill="1" applyBorder="1" applyAlignment="1">
      <alignment horizontal="center" vertical="top" wrapText="1"/>
    </xf>
    <xf numFmtId="0" fontId="1" fillId="22" borderId="0" xfId="4" applyFill="1"/>
    <xf numFmtId="0" fontId="30" fillId="14" borderId="0" xfId="4" applyFont="1" applyFill="1" applyBorder="1" applyAlignment="1">
      <alignment horizontal="left" vertical="top" wrapText="1"/>
    </xf>
    <xf numFmtId="0" fontId="31" fillId="23" borderId="37" xfId="4" applyFont="1" applyFill="1" applyBorder="1" applyAlignment="1">
      <alignment horizontal="left" vertical="top" wrapText="1"/>
    </xf>
    <xf numFmtId="0" fontId="31" fillId="23" borderId="38" xfId="4" applyFont="1" applyFill="1" applyBorder="1" applyAlignment="1">
      <alignment horizontal="left" vertical="top" wrapText="1"/>
    </xf>
    <xf numFmtId="0" fontId="40" fillId="14" borderId="48" xfId="3" applyFont="1" applyFill="1" applyBorder="1" applyAlignment="1" applyProtection="1">
      <alignment horizontal="left"/>
    </xf>
    <xf numFmtId="0" fontId="40" fillId="14" borderId="18" xfId="3" applyFont="1" applyFill="1" applyBorder="1" applyAlignment="1" applyProtection="1">
      <alignment horizontal="left"/>
    </xf>
    <xf numFmtId="0" fontId="4" fillId="14" borderId="20" xfId="0" applyFont="1" applyFill="1" applyBorder="1" applyAlignment="1" applyProtection="1">
      <alignment horizontal="right"/>
    </xf>
    <xf numFmtId="0" fontId="4" fillId="14" borderId="55" xfId="0" applyFont="1" applyFill="1" applyBorder="1" applyAlignment="1" applyProtection="1">
      <alignment horizontal="right"/>
    </xf>
    <xf numFmtId="0" fontId="7" fillId="14" borderId="21" xfId="0" applyFont="1" applyFill="1" applyBorder="1" applyAlignment="1" applyProtection="1">
      <alignment horizontal="left"/>
      <protection locked="0"/>
    </xf>
    <xf numFmtId="0" fontId="7" fillId="14" borderId="26" xfId="0" applyFont="1" applyFill="1" applyBorder="1" applyAlignment="1" applyProtection="1">
      <alignment horizontal="left"/>
      <protection locked="0"/>
    </xf>
    <xf numFmtId="0" fontId="44" fillId="0" borderId="0" xfId="0" applyFont="1" applyAlignment="1">
      <alignment horizontal="center"/>
    </xf>
    <xf numFmtId="0" fontId="38" fillId="14" borderId="2" xfId="0" applyFont="1" applyFill="1" applyBorder="1" applyAlignment="1">
      <alignment horizontal="center"/>
    </xf>
    <xf numFmtId="0" fontId="38" fillId="14" borderId="3" xfId="0" applyFont="1" applyFill="1" applyBorder="1" applyAlignment="1">
      <alignment horizontal="center"/>
    </xf>
    <xf numFmtId="0" fontId="38" fillId="14" borderId="58" xfId="0" applyFont="1" applyFill="1" applyBorder="1" applyAlignment="1">
      <alignment horizontal="center"/>
    </xf>
    <xf numFmtId="0" fontId="18" fillId="14" borderId="44" xfId="0" applyFont="1" applyFill="1" applyBorder="1" applyAlignment="1" applyProtection="1">
      <alignment horizontal="right"/>
    </xf>
    <xf numFmtId="0" fontId="18" fillId="14" borderId="45" xfId="0" applyFont="1" applyFill="1" applyBorder="1" applyAlignment="1" applyProtection="1">
      <alignment horizontal="right"/>
    </xf>
    <xf numFmtId="0" fontId="4" fillId="14" borderId="17" xfId="0" applyFont="1" applyFill="1" applyBorder="1" applyAlignment="1" applyProtection="1">
      <alignment horizontal="right"/>
    </xf>
    <xf numFmtId="0" fontId="4" fillId="14" borderId="59" xfId="0" applyFont="1" applyFill="1" applyBorder="1" applyAlignment="1" applyProtection="1">
      <alignment horizontal="right"/>
    </xf>
    <xf numFmtId="0" fontId="4" fillId="14" borderId="48" xfId="0" applyFont="1" applyFill="1" applyBorder="1" applyAlignment="1" applyProtection="1">
      <alignment horizontal="left"/>
      <protection locked="0"/>
    </xf>
    <xf numFmtId="0" fontId="4" fillId="14" borderId="18" xfId="0" applyFont="1" applyFill="1" applyBorder="1" applyAlignment="1" applyProtection="1">
      <alignment horizontal="left"/>
      <protection locked="0"/>
    </xf>
    <xf numFmtId="0" fontId="40" fillId="14" borderId="21" xfId="3" applyFont="1" applyFill="1" applyBorder="1" applyAlignment="1" applyProtection="1">
      <alignment horizontal="left"/>
    </xf>
    <xf numFmtId="0" fontId="40" fillId="14" borderId="26" xfId="3" applyFont="1" applyFill="1" applyBorder="1" applyAlignment="1" applyProtection="1">
      <alignment horizontal="left"/>
    </xf>
    <xf numFmtId="0" fontId="4" fillId="14" borderId="51" xfId="0" applyFont="1" applyFill="1" applyBorder="1" applyAlignment="1" applyProtection="1">
      <alignment horizontal="right"/>
    </xf>
    <xf numFmtId="0" fontId="4" fillId="14" borderId="60" xfId="0" applyFont="1" applyFill="1" applyBorder="1" applyAlignment="1" applyProtection="1">
      <alignment horizontal="right"/>
    </xf>
    <xf numFmtId="164" fontId="7" fillId="14" borderId="50" xfId="0" applyNumberFormat="1" applyFont="1" applyFill="1" applyBorder="1" applyAlignment="1" applyProtection="1">
      <alignment horizontal="left"/>
      <protection locked="0"/>
    </xf>
    <xf numFmtId="164" fontId="7" fillId="14" borderId="46" xfId="0" applyNumberFormat="1" applyFont="1" applyFill="1" applyBorder="1" applyAlignment="1" applyProtection="1">
      <alignment horizontal="left"/>
      <protection locked="0"/>
    </xf>
    <xf numFmtId="0" fontId="40" fillId="14" borderId="50" xfId="3" applyFont="1" applyFill="1" applyBorder="1" applyAlignment="1" applyProtection="1">
      <alignment horizontal="left"/>
    </xf>
    <xf numFmtId="0" fontId="40" fillId="14" borderId="46" xfId="3" applyFont="1" applyFill="1" applyBorder="1" applyAlignment="1" applyProtection="1">
      <alignment horizontal="left"/>
    </xf>
    <xf numFmtId="0" fontId="4" fillId="14" borderId="57" xfId="0" applyFont="1" applyFill="1" applyBorder="1" applyAlignment="1" applyProtection="1">
      <alignment horizontal="right"/>
    </xf>
    <xf numFmtId="0" fontId="7" fillId="14" borderId="59" xfId="0" applyFont="1" applyFill="1" applyBorder="1" applyAlignment="1" applyProtection="1">
      <alignment horizontal="left"/>
    </xf>
    <xf numFmtId="0" fontId="7" fillId="14" borderId="18" xfId="0" applyFont="1" applyFill="1" applyBorder="1" applyAlignment="1" applyProtection="1">
      <alignment horizontal="left"/>
    </xf>
    <xf numFmtId="0" fontId="4" fillId="14" borderId="61" xfId="0" applyFont="1" applyFill="1" applyBorder="1" applyAlignment="1" applyProtection="1">
      <alignment horizontal="right"/>
    </xf>
    <xf numFmtId="0" fontId="39" fillId="14" borderId="1" xfId="0" applyFont="1" applyFill="1" applyBorder="1" applyAlignment="1" applyProtection="1">
      <alignment horizontal="center" vertical="top" wrapText="1"/>
    </xf>
    <xf numFmtId="0" fontId="39" fillId="14" borderId="42" xfId="0" applyFont="1" applyFill="1" applyBorder="1" applyAlignment="1" applyProtection="1">
      <alignment horizontal="center" vertical="top" wrapText="1"/>
    </xf>
    <xf numFmtId="0" fontId="39" fillId="14" borderId="52" xfId="0" applyFont="1" applyFill="1" applyBorder="1" applyAlignment="1" applyProtection="1">
      <alignment horizontal="center" vertical="top" wrapText="1"/>
    </xf>
    <xf numFmtId="0" fontId="39" fillId="14" borderId="44" xfId="0" applyFont="1" applyFill="1" applyBorder="1" applyAlignment="1" applyProtection="1">
      <alignment horizontal="center" vertical="top" wrapText="1"/>
    </xf>
    <xf numFmtId="0" fontId="39" fillId="14" borderId="0" xfId="0" applyFont="1" applyFill="1" applyBorder="1" applyAlignment="1" applyProtection="1">
      <alignment horizontal="center" vertical="top" wrapText="1"/>
    </xf>
    <xf numFmtId="0" fontId="39" fillId="14" borderId="45" xfId="0" applyFont="1" applyFill="1" applyBorder="1" applyAlignment="1" applyProtection="1">
      <alignment horizontal="center" vertical="top" wrapText="1"/>
    </xf>
    <xf numFmtId="0" fontId="39" fillId="14" borderId="53" xfId="0" applyFont="1" applyFill="1" applyBorder="1" applyAlignment="1" applyProtection="1">
      <alignment horizontal="center" vertical="top" wrapText="1"/>
    </xf>
    <xf numFmtId="0" fontId="39" fillId="14" borderId="14" xfId="0" applyFont="1" applyFill="1" applyBorder="1" applyAlignment="1" applyProtection="1">
      <alignment horizontal="center" vertical="top" wrapText="1"/>
    </xf>
    <xf numFmtId="0" fontId="39" fillId="14" borderId="54" xfId="0" applyFont="1" applyFill="1" applyBorder="1" applyAlignment="1" applyProtection="1">
      <alignment horizontal="center" vertical="top" wrapText="1"/>
    </xf>
    <xf numFmtId="0" fontId="4" fillId="14" borderId="62" xfId="0" applyFont="1" applyFill="1" applyBorder="1" applyAlignment="1" applyProtection="1">
      <alignment horizontal="right"/>
    </xf>
    <xf numFmtId="0" fontId="7" fillId="14" borderId="55" xfId="0" applyFont="1" applyFill="1" applyBorder="1" applyAlignment="1" applyProtection="1">
      <alignment horizontal="left"/>
    </xf>
    <xf numFmtId="0" fontId="7" fillId="14" borderId="26" xfId="0" applyFont="1" applyFill="1" applyBorder="1" applyAlignment="1" applyProtection="1">
      <alignment horizontal="left"/>
    </xf>
    <xf numFmtId="0" fontId="4" fillId="14" borderId="63" xfId="0" applyFont="1" applyFill="1" applyBorder="1" applyAlignment="1" applyProtection="1">
      <alignment horizontal="right"/>
    </xf>
    <xf numFmtId="0" fontId="4" fillId="14" borderId="56" xfId="0" applyFont="1" applyFill="1" applyBorder="1" applyAlignment="1" applyProtection="1">
      <alignment horizontal="right"/>
    </xf>
    <xf numFmtId="164" fontId="7" fillId="14" borderId="51" xfId="0" applyNumberFormat="1" applyFont="1" applyFill="1" applyBorder="1" applyAlignment="1" applyProtection="1">
      <alignment horizontal="left"/>
    </xf>
    <xf numFmtId="164" fontId="7" fillId="14" borderId="56" xfId="0" applyNumberFormat="1" applyFont="1" applyFill="1" applyBorder="1" applyAlignment="1" applyProtection="1">
      <alignment horizontal="left"/>
    </xf>
    <xf numFmtId="0" fontId="31" fillId="23" borderId="1" xfId="4" applyFont="1" applyFill="1" applyBorder="1" applyAlignment="1">
      <alignment horizontal="center" vertical="top" wrapText="1"/>
    </xf>
    <xf numFmtId="0" fontId="31" fillId="23" borderId="52" xfId="4" applyFont="1" applyFill="1" applyBorder="1" applyAlignment="1">
      <alignment horizontal="center" vertical="top" wrapText="1"/>
    </xf>
    <xf numFmtId="0" fontId="31" fillId="22" borderId="1" xfId="4" applyFont="1" applyFill="1" applyBorder="1" applyAlignment="1">
      <alignment horizontal="center" vertical="top" wrapText="1"/>
    </xf>
    <xf numFmtId="0" fontId="31" fillId="22" borderId="42" xfId="4" applyFont="1" applyFill="1" applyBorder="1" applyAlignment="1">
      <alignment horizontal="center" vertical="top" wrapText="1"/>
    </xf>
    <xf numFmtId="0" fontId="31" fillId="22" borderId="52" xfId="4" applyFont="1" applyFill="1" applyBorder="1" applyAlignment="1">
      <alignment horizontal="center" vertical="top" wrapText="1"/>
    </xf>
    <xf numFmtId="0" fontId="30" fillId="19" borderId="2" xfId="4" applyFont="1" applyFill="1" applyBorder="1" applyAlignment="1">
      <alignment horizontal="center" vertical="top" wrapText="1"/>
    </xf>
    <xf numFmtId="0" fontId="30" fillId="19" borderId="3" xfId="4" applyFont="1" applyFill="1" applyBorder="1" applyAlignment="1">
      <alignment horizontal="center" vertical="top" wrapText="1"/>
    </xf>
    <xf numFmtId="0" fontId="30" fillId="19" borderId="58" xfId="4" applyFont="1" applyFill="1" applyBorder="1" applyAlignment="1">
      <alignment horizontal="center" vertical="top" wrapText="1"/>
    </xf>
    <xf numFmtId="0" fontId="31" fillId="19" borderId="2" xfId="4" applyFont="1" applyFill="1" applyBorder="1" applyAlignment="1">
      <alignment horizontal="center" vertical="top" wrapText="1"/>
    </xf>
    <xf numFmtId="0" fontId="31" fillId="19" borderId="3" xfId="4" applyFont="1" applyFill="1" applyBorder="1" applyAlignment="1">
      <alignment horizontal="center" vertical="top" wrapText="1"/>
    </xf>
    <xf numFmtId="0" fontId="31" fillId="19" borderId="58" xfId="4" applyFont="1" applyFill="1" applyBorder="1" applyAlignment="1">
      <alignment horizontal="center" vertical="top" wrapText="1"/>
    </xf>
    <xf numFmtId="0" fontId="31" fillId="15" borderId="2" xfId="4" applyFont="1" applyFill="1" applyBorder="1" applyAlignment="1">
      <alignment horizontal="center" vertical="top" wrapText="1"/>
    </xf>
    <xf numFmtId="0" fontId="31" fillId="15" borderId="58" xfId="4" applyFont="1" applyFill="1" applyBorder="1" applyAlignment="1">
      <alignment horizontal="center" vertical="top" wrapText="1"/>
    </xf>
    <xf numFmtId="0" fontId="30" fillId="0" borderId="0" xfId="8" applyFont="1" applyAlignment="1">
      <alignment horizontal="left" vertical="center" wrapText="1"/>
    </xf>
    <xf numFmtId="0" fontId="31" fillId="0" borderId="0" xfId="8" applyFont="1" applyAlignment="1">
      <alignment horizontal="left" vertical="center" wrapText="1"/>
    </xf>
    <xf numFmtId="0" fontId="46" fillId="17" borderId="2" xfId="0" applyFont="1" applyFill="1" applyBorder="1" applyAlignment="1">
      <alignment horizontal="center" vertical="center"/>
    </xf>
    <xf numFmtId="0" fontId="17" fillId="17" borderId="3" xfId="0" applyFont="1" applyFill="1" applyBorder="1" applyAlignment="1">
      <alignment horizontal="center" vertical="center"/>
    </xf>
    <xf numFmtId="0" fontId="46" fillId="17" borderId="3" xfId="0" applyFont="1" applyFill="1" applyBorder="1" applyAlignment="1">
      <alignment horizontal="center" vertical="center"/>
    </xf>
    <xf numFmtId="0" fontId="46" fillId="17" borderId="3" xfId="0" applyFont="1" applyFill="1" applyBorder="1" applyAlignment="1">
      <alignment horizontal="left" vertical="center"/>
    </xf>
    <xf numFmtId="0" fontId="17" fillId="17" borderId="3" xfId="0" applyFont="1" applyFill="1" applyBorder="1" applyAlignment="1">
      <alignment horizontal="left" vertical="center"/>
    </xf>
    <xf numFmtId="0" fontId="17" fillId="17" borderId="58" xfId="0" applyFont="1" applyFill="1" applyBorder="1" applyAlignment="1">
      <alignment horizontal="left" vertical="center"/>
    </xf>
    <xf numFmtId="0" fontId="13" fillId="18" borderId="21" xfId="6" applyFont="1" applyFill="1" applyBorder="1" applyAlignment="1">
      <alignment horizontal="center" vertical="center" wrapText="1" shrinkToFit="1"/>
    </xf>
    <xf numFmtId="0" fontId="14" fillId="18" borderId="22" xfId="0" applyFont="1" applyFill="1" applyBorder="1" applyAlignment="1">
      <alignment horizontal="left" vertical="center" wrapText="1"/>
    </xf>
    <xf numFmtId="0" fontId="14" fillId="18" borderId="24" xfId="0" applyFont="1" applyFill="1" applyBorder="1" applyAlignment="1">
      <alignment horizontal="left" vertical="center" wrapText="1"/>
    </xf>
    <xf numFmtId="0" fontId="14" fillId="18" borderId="62" xfId="0" applyFont="1" applyFill="1" applyBorder="1" applyAlignment="1">
      <alignment horizontal="left" vertical="center" wrapText="1"/>
    </xf>
    <xf numFmtId="0" fontId="14" fillId="18" borderId="68" xfId="0" applyFont="1" applyFill="1" applyBorder="1" applyAlignment="1">
      <alignment horizontal="left" vertical="center" wrapText="1"/>
    </xf>
    <xf numFmtId="0" fontId="14" fillId="18" borderId="63" xfId="0" applyFont="1" applyFill="1" applyBorder="1" applyAlignment="1">
      <alignment horizontal="left" vertical="center" wrapText="1"/>
    </xf>
    <xf numFmtId="0" fontId="14" fillId="18" borderId="56" xfId="0" applyFont="1" applyFill="1" applyBorder="1" applyAlignment="1">
      <alignment horizontal="left" vertical="center" wrapText="1"/>
    </xf>
    <xf numFmtId="0" fontId="41" fillId="16" borderId="49" xfId="6" applyFont="1" applyFill="1" applyBorder="1" applyAlignment="1">
      <alignment horizontal="center" vertical="center" wrapText="1"/>
    </xf>
    <xf numFmtId="0" fontId="41" fillId="16" borderId="50" xfId="6" applyFont="1" applyFill="1" applyBorder="1" applyAlignment="1">
      <alignment horizontal="center" vertical="center" wrapText="1"/>
    </xf>
    <xf numFmtId="0" fontId="13" fillId="18" borderId="50" xfId="6" applyFont="1" applyFill="1" applyBorder="1" applyAlignment="1">
      <alignment horizontal="center" vertical="center" wrapText="1" shrinkToFit="1"/>
    </xf>
    <xf numFmtId="0" fontId="41" fillId="16" borderId="28" xfId="6" applyFont="1" applyFill="1" applyBorder="1" applyAlignment="1">
      <alignment horizontal="center" vertical="center" wrapText="1"/>
    </xf>
    <xf numFmtId="0" fontId="41" fillId="16" borderId="29" xfId="6" applyFont="1" applyFill="1" applyBorder="1" applyAlignment="1">
      <alignment horizontal="center" vertical="center" wrapText="1"/>
    </xf>
    <xf numFmtId="0" fontId="13" fillId="18" borderId="29" xfId="6" applyFont="1" applyFill="1" applyBorder="1" applyAlignment="1">
      <alignment horizontal="center" vertical="center" wrapText="1" shrinkToFit="1"/>
    </xf>
    <xf numFmtId="0" fontId="14" fillId="18" borderId="66" xfId="0" applyFont="1" applyFill="1" applyBorder="1" applyAlignment="1">
      <alignment horizontal="left" vertical="center" wrapText="1"/>
    </xf>
    <xf numFmtId="0" fontId="14" fillId="18" borderId="41" xfId="0" applyFont="1" applyFill="1" applyBorder="1" applyAlignment="1">
      <alignment horizontal="left" vertical="center" wrapText="1"/>
    </xf>
    <xf numFmtId="0" fontId="14" fillId="18" borderId="43" xfId="0" applyFont="1" applyFill="1" applyBorder="1" applyAlignment="1">
      <alignment horizontal="left" vertical="center" wrapText="1"/>
    </xf>
    <xf numFmtId="0" fontId="41" fillId="16" borderId="23" xfId="6" applyFont="1" applyFill="1" applyBorder="1" applyAlignment="1">
      <alignment horizontal="center" vertical="center" wrapText="1"/>
    </xf>
    <xf numFmtId="0" fontId="41" fillId="16" borderId="21" xfId="6" applyFont="1" applyFill="1" applyBorder="1" applyAlignment="1">
      <alignment horizontal="center" vertical="center" wrapText="1"/>
    </xf>
    <xf numFmtId="0" fontId="19" fillId="4" borderId="0" xfId="9" applyFont="1" applyFill="1" applyBorder="1" applyAlignment="1">
      <alignment horizontal="left" vertical="center"/>
    </xf>
    <xf numFmtId="0" fontId="42" fillId="16" borderId="20" xfId="6" applyFont="1" applyFill="1" applyBorder="1" applyAlignment="1">
      <alignment horizontal="center" vertical="center" wrapText="1"/>
    </xf>
    <xf numFmtId="0" fontId="42" fillId="16" borderId="24" xfId="6" applyFont="1" applyFill="1" applyBorder="1" applyAlignment="1">
      <alignment horizontal="center" vertical="center" wrapText="1"/>
    </xf>
    <xf numFmtId="0" fontId="42" fillId="16" borderId="62" xfId="6" applyFont="1" applyFill="1" applyBorder="1" applyAlignment="1">
      <alignment horizontal="center" vertical="center" wrapText="1"/>
    </xf>
    <xf numFmtId="0" fontId="13" fillId="18" borderId="55" xfId="6" applyFont="1" applyFill="1" applyBorder="1" applyAlignment="1">
      <alignment horizontal="center" vertical="center" wrapText="1" shrinkToFit="1"/>
    </xf>
    <xf numFmtId="0" fontId="13" fillId="18" borderId="22" xfId="6" applyFont="1" applyFill="1" applyBorder="1" applyAlignment="1">
      <alignment horizontal="center" vertical="center" wrapText="1" shrinkToFit="1"/>
    </xf>
    <xf numFmtId="0" fontId="42" fillId="16" borderId="23" xfId="6" applyFont="1" applyFill="1" applyBorder="1" applyAlignment="1">
      <alignment horizontal="center" vertical="center"/>
    </xf>
    <xf numFmtId="0" fontId="42" fillId="16" borderId="21" xfId="6" applyFont="1" applyFill="1" applyBorder="1" applyAlignment="1">
      <alignment horizontal="center" vertical="center"/>
    </xf>
    <xf numFmtId="0" fontId="42" fillId="16" borderId="26" xfId="6" applyFont="1" applyFill="1" applyBorder="1" applyAlignment="1">
      <alignment horizontal="center" vertical="center"/>
    </xf>
    <xf numFmtId="0" fontId="13" fillId="18" borderId="23" xfId="6" applyFont="1" applyFill="1" applyBorder="1" applyAlignment="1">
      <alignment horizontal="center" vertical="center" wrapText="1" shrinkToFit="1"/>
    </xf>
    <xf numFmtId="0" fontId="43" fillId="18" borderId="21" xfId="9" applyFont="1" applyFill="1" applyBorder="1" applyAlignment="1">
      <alignment horizontal="left"/>
    </xf>
    <xf numFmtId="0" fontId="43" fillId="18" borderId="26" xfId="9" applyFont="1" applyFill="1" applyBorder="1" applyAlignment="1">
      <alignment horizontal="left"/>
    </xf>
    <xf numFmtId="0" fontId="41" fillId="16" borderId="23" xfId="9" applyFont="1" applyFill="1" applyBorder="1" applyAlignment="1">
      <alignment horizontal="center"/>
    </xf>
    <xf numFmtId="0" fontId="41" fillId="16" borderId="21" xfId="9" applyFont="1" applyFill="1" applyBorder="1" applyAlignment="1">
      <alignment horizontal="center"/>
    </xf>
    <xf numFmtId="0" fontId="41" fillId="16" borderId="49" xfId="9" applyFont="1" applyFill="1" applyBorder="1" applyAlignment="1">
      <alignment horizontal="center"/>
    </xf>
    <xf numFmtId="0" fontId="41" fillId="16" borderId="50" xfId="9" applyFont="1" applyFill="1" applyBorder="1" applyAlignment="1">
      <alignment horizontal="center"/>
    </xf>
    <xf numFmtId="0" fontId="16" fillId="16" borderId="64" xfId="0" applyFont="1" applyFill="1" applyBorder="1" applyAlignment="1">
      <alignment horizontal="center" vertical="center"/>
    </xf>
    <xf numFmtId="0" fontId="16" fillId="16" borderId="15" xfId="0" applyFont="1" applyFill="1" applyBorder="1" applyAlignment="1">
      <alignment horizontal="center" vertical="center"/>
    </xf>
    <xf numFmtId="0" fontId="16" fillId="16" borderId="16" xfId="0" applyFont="1" applyFill="1" applyBorder="1" applyAlignment="1">
      <alignment horizontal="center" vertical="center"/>
    </xf>
    <xf numFmtId="0" fontId="43" fillId="18" borderId="50" xfId="9" applyFont="1" applyFill="1" applyBorder="1" applyAlignment="1">
      <alignment horizontal="left"/>
    </xf>
    <xf numFmtId="0" fontId="43" fillId="18" borderId="46" xfId="9" applyFont="1" applyFill="1" applyBorder="1" applyAlignment="1">
      <alignment horizontal="left"/>
    </xf>
    <xf numFmtId="0" fontId="16" fillId="16" borderId="64" xfId="0" applyFont="1" applyFill="1" applyBorder="1" applyAlignment="1">
      <alignment horizontal="center"/>
    </xf>
    <xf numFmtId="0" fontId="16" fillId="16" borderId="65" xfId="0" applyFont="1" applyFill="1" applyBorder="1" applyAlignment="1">
      <alignment horizontal="center"/>
    </xf>
    <xf numFmtId="0" fontId="14" fillId="18" borderId="21" xfId="0" applyFont="1" applyFill="1" applyBorder="1" applyAlignment="1">
      <alignment horizontal="center" vertical="center" wrapText="1"/>
    </xf>
    <xf numFmtId="0" fontId="14" fillId="18" borderId="29" xfId="0" applyFont="1" applyFill="1" applyBorder="1" applyAlignment="1">
      <alignment horizontal="center" vertical="center" wrapText="1" shrinkToFit="1"/>
    </xf>
    <xf numFmtId="0" fontId="14" fillId="18" borderId="66" xfId="0" applyFont="1" applyFill="1" applyBorder="1" applyAlignment="1">
      <alignment horizontal="center" vertical="center" wrapText="1" shrinkToFit="1"/>
    </xf>
    <xf numFmtId="0" fontId="13" fillId="18" borderId="26" xfId="6" applyFont="1" applyFill="1" applyBorder="1" applyAlignment="1">
      <alignment horizontal="center" vertical="center" wrapText="1" shrinkToFit="1"/>
    </xf>
    <xf numFmtId="0" fontId="41" fillId="16" borderId="28" xfId="9" applyFont="1" applyFill="1" applyBorder="1" applyAlignment="1">
      <alignment horizontal="center"/>
    </xf>
    <xf numFmtId="0" fontId="41" fillId="16" borderId="29" xfId="9" applyFont="1" applyFill="1" applyBorder="1" applyAlignment="1">
      <alignment horizontal="center"/>
    </xf>
    <xf numFmtId="0" fontId="43" fillId="18" borderId="29" xfId="9" applyFont="1" applyFill="1" applyBorder="1" applyAlignment="1">
      <alignment horizontal="left"/>
    </xf>
    <xf numFmtId="0" fontId="43" fillId="18" borderId="69" xfId="9" applyFont="1" applyFill="1" applyBorder="1" applyAlignment="1">
      <alignment horizontal="left"/>
    </xf>
    <xf numFmtId="0" fontId="45" fillId="17" borderId="2" xfId="9" applyFont="1" applyFill="1" applyBorder="1" applyAlignment="1">
      <alignment horizontal="center"/>
    </xf>
    <xf numFmtId="0" fontId="15" fillId="17" borderId="3" xfId="9" applyFont="1" applyFill="1" applyBorder="1" applyAlignment="1">
      <alignment horizontal="center"/>
    </xf>
    <xf numFmtId="0" fontId="15" fillId="17" borderId="58" xfId="9" applyFont="1" applyFill="1" applyBorder="1" applyAlignment="1">
      <alignment horizontal="center"/>
    </xf>
    <xf numFmtId="0" fontId="43" fillId="18" borderId="48" xfId="9" applyFont="1" applyFill="1" applyBorder="1" applyAlignment="1">
      <alignment horizontal="left"/>
    </xf>
    <xf numFmtId="0" fontId="43" fillId="18" borderId="18" xfId="9" applyFont="1" applyFill="1" applyBorder="1" applyAlignment="1">
      <alignment horizontal="left"/>
    </xf>
    <xf numFmtId="0" fontId="43" fillId="18" borderId="22" xfId="9" applyFont="1" applyFill="1" applyBorder="1" applyAlignment="1">
      <alignment horizontal="left"/>
    </xf>
    <xf numFmtId="0" fontId="43" fillId="18" borderId="24" xfId="9" applyFont="1" applyFill="1" applyBorder="1" applyAlignment="1">
      <alignment horizontal="left"/>
    </xf>
    <xf numFmtId="0" fontId="43" fillId="18" borderId="62" xfId="9" applyFont="1" applyFill="1" applyBorder="1" applyAlignment="1">
      <alignment horizontal="left"/>
    </xf>
    <xf numFmtId="0" fontId="17" fillId="16" borderId="2" xfId="6" applyFont="1" applyFill="1" applyBorder="1" applyAlignment="1">
      <alignment horizontal="center"/>
    </xf>
    <xf numFmtId="0" fontId="17" fillId="16" borderId="3" xfId="6" applyFont="1" applyFill="1" applyBorder="1" applyAlignment="1">
      <alignment horizontal="center"/>
    </xf>
    <xf numFmtId="0" fontId="17" fillId="16" borderId="58" xfId="6" applyFont="1" applyFill="1" applyBorder="1" applyAlignment="1">
      <alignment horizontal="center"/>
    </xf>
    <xf numFmtId="0" fontId="17" fillId="16" borderId="2" xfId="9" applyFont="1" applyFill="1" applyBorder="1" applyAlignment="1">
      <alignment horizontal="center"/>
    </xf>
    <xf numFmtId="0" fontId="17" fillId="16" borderId="3" xfId="9" applyFont="1" applyFill="1" applyBorder="1" applyAlignment="1">
      <alignment horizontal="center"/>
    </xf>
    <xf numFmtId="0" fontId="17" fillId="16" borderId="58" xfId="9" applyFont="1" applyFill="1" applyBorder="1" applyAlignment="1">
      <alignment horizontal="center"/>
    </xf>
    <xf numFmtId="0" fontId="41" fillId="16" borderId="47" xfId="9" applyFont="1" applyFill="1" applyBorder="1" applyAlignment="1">
      <alignment horizontal="center"/>
    </xf>
    <xf numFmtId="0" fontId="41" fillId="16" borderId="48" xfId="9" applyFont="1" applyFill="1" applyBorder="1" applyAlignment="1">
      <alignment horizontal="center"/>
    </xf>
    <xf numFmtId="0" fontId="2" fillId="4" borderId="0" xfId="6" applyFont="1" applyFill="1" applyBorder="1" applyAlignment="1">
      <alignment horizontal="left" vertical="top" wrapText="1" shrinkToFit="1"/>
    </xf>
    <xf numFmtId="0" fontId="1" fillId="18" borderId="68" xfId="6" applyFont="1" applyFill="1" applyBorder="1" applyAlignment="1">
      <alignment horizontal="center" vertical="center" wrapText="1" shrinkToFit="1"/>
    </xf>
    <xf numFmtId="0" fontId="1" fillId="18" borderId="63" xfId="6" applyFont="1" applyFill="1" applyBorder="1" applyAlignment="1">
      <alignment horizontal="center" vertical="center" wrapText="1" shrinkToFit="1"/>
    </xf>
    <xf numFmtId="0" fontId="1" fillId="18" borderId="56" xfId="6" applyFont="1" applyFill="1" applyBorder="1" applyAlignment="1">
      <alignment horizontal="center" vertical="center" wrapText="1" shrinkToFit="1"/>
    </xf>
    <xf numFmtId="0" fontId="2" fillId="4" borderId="0" xfId="6" applyFont="1" applyFill="1" applyBorder="1" applyAlignment="1">
      <alignment horizontal="left" wrapText="1" shrinkToFit="1"/>
    </xf>
    <xf numFmtId="0" fontId="14" fillId="18" borderId="21" xfId="0" applyFont="1" applyFill="1" applyBorder="1" applyAlignment="1">
      <alignment horizontal="center" vertical="center" wrapText="1" shrinkToFit="1"/>
    </xf>
    <xf numFmtId="0" fontId="14" fillId="18" borderId="22" xfId="0" applyFont="1" applyFill="1" applyBorder="1" applyAlignment="1">
      <alignment horizontal="center" vertical="center" wrapText="1" shrinkToFit="1"/>
    </xf>
    <xf numFmtId="0" fontId="13" fillId="18" borderId="62" xfId="6" quotePrefix="1" applyFont="1" applyFill="1" applyBorder="1" applyAlignment="1">
      <alignment horizontal="center" vertical="center" wrapText="1" shrinkToFit="1"/>
    </xf>
    <xf numFmtId="0" fontId="35" fillId="16" borderId="23" xfId="6" applyFont="1" applyFill="1" applyBorder="1" applyAlignment="1">
      <alignment horizontal="center" vertical="center"/>
    </xf>
    <xf numFmtId="0" fontId="35" fillId="16" borderId="21" xfId="6" applyFont="1" applyFill="1" applyBorder="1" applyAlignment="1">
      <alignment horizontal="center" vertical="center"/>
    </xf>
    <xf numFmtId="0" fontId="1" fillId="18" borderId="21" xfId="6" applyFont="1" applyFill="1" applyBorder="1" applyAlignment="1">
      <alignment horizontal="center" vertical="center" wrapText="1" shrinkToFit="1"/>
    </xf>
    <xf numFmtId="0" fontId="1" fillId="18" borderId="26" xfId="6" applyFont="1" applyFill="1" applyBorder="1" applyAlignment="1">
      <alignment horizontal="center" vertical="center" wrapText="1" shrinkToFit="1"/>
    </xf>
    <xf numFmtId="0" fontId="14" fillId="18" borderId="26" xfId="0" applyFont="1" applyFill="1" applyBorder="1" applyAlignment="1">
      <alignment horizontal="center" vertical="center" wrapText="1" shrinkToFit="1"/>
    </xf>
    <xf numFmtId="0" fontId="16" fillId="16" borderId="15" xfId="0" applyFont="1" applyFill="1" applyBorder="1" applyAlignment="1">
      <alignment horizontal="center"/>
    </xf>
    <xf numFmtId="0" fontId="35" fillId="16" borderId="49" xfId="6" applyFont="1" applyFill="1" applyBorder="1" applyAlignment="1">
      <alignment horizontal="center" vertical="center"/>
    </xf>
    <xf numFmtId="0" fontId="35" fillId="16" borderId="50" xfId="6" applyFont="1" applyFill="1" applyBorder="1" applyAlignment="1">
      <alignment horizontal="center" vertical="center"/>
    </xf>
    <xf numFmtId="0" fontId="35" fillId="16" borderId="17" xfId="6" applyFont="1" applyFill="1" applyBorder="1" applyAlignment="1">
      <alignment horizontal="center" vertical="center"/>
    </xf>
    <xf numFmtId="0" fontId="35" fillId="16" borderId="61" xfId="6" applyFont="1" applyFill="1" applyBorder="1" applyAlignment="1">
      <alignment horizontal="center" vertical="center"/>
    </xf>
    <xf numFmtId="0" fontId="35" fillId="16" borderId="59" xfId="6" applyFont="1" applyFill="1" applyBorder="1" applyAlignment="1">
      <alignment horizontal="center" vertical="center"/>
    </xf>
    <xf numFmtId="0" fontId="1" fillId="18" borderId="67" xfId="6" applyFont="1" applyFill="1" applyBorder="1" applyAlignment="1">
      <alignment horizontal="center" vertical="center" wrapText="1" shrinkToFit="1"/>
    </xf>
    <xf numFmtId="0" fontId="1" fillId="18" borderId="61" xfId="6" applyFont="1" applyFill="1" applyBorder="1" applyAlignment="1">
      <alignment horizontal="center" vertical="center" wrapText="1" shrinkToFit="1"/>
    </xf>
    <xf numFmtId="0" fontId="1" fillId="18" borderId="57" xfId="6" applyFont="1" applyFill="1" applyBorder="1" applyAlignment="1">
      <alignment horizontal="center" vertical="center" wrapText="1" shrinkToFit="1"/>
    </xf>
    <xf numFmtId="0" fontId="13" fillId="18" borderId="16" xfId="6" applyFont="1" applyFill="1" applyBorder="1" applyAlignment="1">
      <alignment horizontal="center" vertical="center" wrapText="1" shrinkToFit="1"/>
    </xf>
    <xf numFmtId="0" fontId="13" fillId="18" borderId="52" xfId="6" applyFont="1" applyFill="1" applyBorder="1" applyAlignment="1">
      <alignment horizontal="center" vertical="center" wrapText="1" shrinkToFit="1"/>
    </xf>
    <xf numFmtId="0" fontId="13" fillId="18" borderId="59" xfId="6" applyFont="1" applyFill="1" applyBorder="1" applyAlignment="1">
      <alignment horizontal="center" vertical="center" wrapText="1" shrinkToFit="1"/>
    </xf>
    <xf numFmtId="0" fontId="13" fillId="18" borderId="48" xfId="6" applyFont="1" applyFill="1" applyBorder="1" applyAlignment="1">
      <alignment horizontal="center" vertical="center" wrapText="1" shrinkToFit="1"/>
    </xf>
    <xf numFmtId="0" fontId="14" fillId="18" borderId="22" xfId="0" applyFont="1" applyFill="1" applyBorder="1" applyAlignment="1">
      <alignment horizontal="center" vertical="center" wrapText="1"/>
    </xf>
    <xf numFmtId="0" fontId="14" fillId="18" borderId="24" xfId="0" applyFont="1" applyFill="1" applyBorder="1" applyAlignment="1">
      <alignment horizontal="center" vertical="center" wrapText="1"/>
    </xf>
    <xf numFmtId="0" fontId="14" fillId="18" borderId="55" xfId="0" applyFont="1" applyFill="1" applyBorder="1" applyAlignment="1">
      <alignment horizontal="center" vertical="center" wrapText="1"/>
    </xf>
    <xf numFmtId="0" fontId="5" fillId="16" borderId="2" xfId="6" applyFont="1" applyFill="1" applyBorder="1" applyAlignment="1">
      <alignment horizontal="center" vertical="center"/>
    </xf>
    <xf numFmtId="0" fontId="5" fillId="16" borderId="3" xfId="6" applyFont="1" applyFill="1" applyBorder="1" applyAlignment="1">
      <alignment horizontal="center" vertical="center"/>
    </xf>
    <xf numFmtId="0" fontId="5" fillId="16" borderId="58" xfId="6" applyFont="1" applyFill="1" applyBorder="1" applyAlignment="1">
      <alignment horizontal="center" vertical="center"/>
    </xf>
    <xf numFmtId="0" fontId="13" fillId="18" borderId="42" xfId="6" applyFont="1" applyFill="1" applyBorder="1" applyAlignment="1">
      <alignment horizontal="center" vertical="center" wrapText="1" shrinkToFit="1"/>
    </xf>
    <xf numFmtId="0" fontId="14" fillId="18" borderId="24" xfId="0" applyFont="1" applyFill="1" applyBorder="1" applyAlignment="1">
      <alignment horizontal="center" vertical="center" wrapText="1" shrinkToFit="1"/>
    </xf>
    <xf numFmtId="0" fontId="14" fillId="18" borderId="55" xfId="0" applyFont="1" applyFill="1" applyBorder="1" applyAlignment="1">
      <alignment horizontal="center" vertical="center" wrapText="1" shrinkToFit="1"/>
    </xf>
    <xf numFmtId="0" fontId="47" fillId="17" borderId="2" xfId="0" applyFont="1" applyFill="1" applyBorder="1" applyAlignment="1">
      <alignment horizontal="left" vertical="center"/>
    </xf>
    <xf numFmtId="0" fontId="18" fillId="17" borderId="3" xfId="0" applyFont="1" applyFill="1" applyBorder="1" applyAlignment="1">
      <alignment horizontal="left" vertical="center"/>
    </xf>
    <xf numFmtId="0" fontId="18" fillId="17" borderId="58" xfId="0" applyFont="1" applyFill="1" applyBorder="1" applyAlignment="1">
      <alignment horizontal="left" vertical="center"/>
    </xf>
    <xf numFmtId="0" fontId="16" fillId="17" borderId="3" xfId="0" applyFont="1" applyFill="1" applyBorder="1" applyAlignment="1">
      <alignment horizontal="center" vertical="center"/>
    </xf>
    <xf numFmtId="0" fontId="46" fillId="17" borderId="3" xfId="0" applyFont="1" applyFill="1" applyBorder="1" applyAlignment="1">
      <alignment horizontal="left"/>
    </xf>
    <xf numFmtId="0" fontId="17" fillId="17" borderId="3" xfId="0" applyFont="1" applyFill="1" applyBorder="1" applyAlignment="1">
      <alignment horizontal="left"/>
    </xf>
    <xf numFmtId="0" fontId="17" fillId="17" borderId="58" xfId="0" applyFont="1" applyFill="1" applyBorder="1" applyAlignment="1">
      <alignment horizontal="left"/>
    </xf>
    <xf numFmtId="0" fontId="16" fillId="16" borderId="65" xfId="0" applyFont="1" applyFill="1" applyBorder="1" applyAlignment="1">
      <alignment horizontal="center" vertical="center"/>
    </xf>
    <xf numFmtId="0" fontId="17" fillId="16" borderId="1" xfId="6" applyFont="1" applyFill="1" applyBorder="1" applyAlignment="1">
      <alignment horizontal="center" vertical="center"/>
    </xf>
    <xf numFmtId="0" fontId="17" fillId="16" borderId="42" xfId="6" applyFont="1" applyFill="1" applyBorder="1" applyAlignment="1">
      <alignment horizontal="center" vertical="center"/>
    </xf>
    <xf numFmtId="0" fontId="17" fillId="16" borderId="52" xfId="6" applyFont="1" applyFill="1" applyBorder="1" applyAlignment="1">
      <alignment horizontal="center" vertical="center"/>
    </xf>
    <xf numFmtId="0" fontId="42" fillId="16" borderId="47" xfId="6" applyFont="1" applyFill="1" applyBorder="1" applyAlignment="1">
      <alignment horizontal="center" vertical="center"/>
    </xf>
    <xf numFmtId="0" fontId="42" fillId="16" borderId="48" xfId="6" applyFont="1" applyFill="1" applyBorder="1" applyAlignment="1">
      <alignment horizontal="center" vertical="center"/>
    </xf>
    <xf numFmtId="0" fontId="42" fillId="16" borderId="18" xfId="6" applyFont="1" applyFill="1" applyBorder="1" applyAlignment="1">
      <alignment horizontal="center" vertical="center"/>
    </xf>
    <xf numFmtId="0" fontId="17" fillId="16" borderId="1" xfId="6" applyFont="1" applyFill="1" applyBorder="1" applyAlignment="1">
      <alignment horizontal="center"/>
    </xf>
    <xf numFmtId="0" fontId="17" fillId="16" borderId="42" xfId="6" applyFont="1" applyFill="1" applyBorder="1" applyAlignment="1">
      <alignment horizontal="center"/>
    </xf>
    <xf numFmtId="0" fontId="17" fillId="16" borderId="52" xfId="6" applyFont="1" applyFill="1" applyBorder="1" applyAlignment="1">
      <alignment horizontal="center"/>
    </xf>
    <xf numFmtId="0" fontId="16" fillId="16" borderId="16" xfId="0" applyFont="1" applyFill="1" applyBorder="1" applyAlignment="1">
      <alignment horizontal="center"/>
    </xf>
    <xf numFmtId="0" fontId="46" fillId="17" borderId="2" xfId="0" applyFont="1" applyFill="1" applyBorder="1" applyAlignment="1">
      <alignment horizontal="center"/>
    </xf>
    <xf numFmtId="0" fontId="16" fillId="17" borderId="3" xfId="0" applyFont="1" applyFill="1" applyBorder="1" applyAlignment="1">
      <alignment horizontal="center"/>
    </xf>
    <xf numFmtId="0" fontId="30" fillId="11" borderId="2" xfId="4" applyFont="1" applyFill="1" applyBorder="1" applyAlignment="1">
      <alignment horizontal="center" vertical="top" wrapText="1"/>
    </xf>
    <xf numFmtId="0" fontId="30" fillId="11" borderId="3" xfId="4" applyFont="1" applyFill="1" applyBorder="1" applyAlignment="1">
      <alignment horizontal="center" vertical="top" wrapText="1"/>
    </xf>
    <xf numFmtId="0" fontId="30" fillId="11" borderId="58" xfId="4" applyFont="1" applyFill="1" applyBorder="1" applyAlignment="1">
      <alignment horizontal="center" vertical="top" wrapText="1"/>
    </xf>
    <xf numFmtId="0" fontId="31" fillId="11" borderId="2" xfId="4" applyFont="1" applyFill="1" applyBorder="1" applyAlignment="1">
      <alignment horizontal="center" vertical="top" wrapText="1"/>
    </xf>
    <xf numFmtId="0" fontId="31" fillId="11" borderId="3" xfId="4" applyFont="1" applyFill="1" applyBorder="1" applyAlignment="1">
      <alignment horizontal="center" vertical="top" wrapText="1"/>
    </xf>
    <xf numFmtId="0" fontId="31" fillId="11" borderId="58" xfId="4" applyFont="1" applyFill="1" applyBorder="1" applyAlignment="1">
      <alignment horizontal="center" vertical="top" wrapText="1"/>
    </xf>
    <xf numFmtId="0" fontId="31" fillId="13" borderId="2" xfId="4" applyFont="1" applyFill="1" applyBorder="1" applyAlignment="1">
      <alignment horizontal="center" vertical="top" wrapText="1"/>
    </xf>
    <xf numFmtId="0" fontId="31" fillId="13" borderId="58" xfId="4" applyFont="1" applyFill="1" applyBorder="1" applyAlignment="1">
      <alignment horizontal="center" vertical="top" wrapText="1"/>
    </xf>
    <xf numFmtId="0" fontId="22" fillId="4" borderId="70" xfId="10" applyFont="1" applyFill="1" applyBorder="1" applyAlignment="1" applyProtection="1">
      <alignment vertical="top" wrapText="1"/>
      <protection locked="0"/>
    </xf>
    <xf numFmtId="0" fontId="21" fillId="0" borderId="71" xfId="10" applyBorder="1" applyAlignment="1" applyProtection="1">
      <alignment vertical="top" wrapText="1"/>
      <protection locked="0"/>
    </xf>
    <xf numFmtId="0" fontId="21" fillId="0" borderId="72" xfId="10" applyBorder="1" applyAlignment="1" applyProtection="1">
      <alignment vertical="top" wrapText="1"/>
      <protection locked="0"/>
    </xf>
  </cellXfs>
  <cellStyles count="11">
    <cellStyle name="Custom Style  1" xfId="1" xr:uid="{00000000-0005-0000-0000-000000000000}"/>
    <cellStyle name="Custom Style 2" xfId="2" xr:uid="{00000000-0005-0000-0000-000001000000}"/>
    <cellStyle name="Hyperlink" xfId="3" builtinId="8"/>
    <cellStyle name="Normal" xfId="0" builtinId="0"/>
    <cellStyle name="Normal 2" xfId="4" xr:uid="{00000000-0005-0000-0000-000004000000}"/>
    <cellStyle name="Normal 2 2" xfId="5" xr:uid="{00000000-0005-0000-0000-000005000000}"/>
    <cellStyle name="Normal 3" xfId="6" xr:uid="{00000000-0005-0000-0000-000006000000}"/>
    <cellStyle name="Normal 3 2" xfId="7" xr:uid="{00000000-0005-0000-0000-000007000000}"/>
    <cellStyle name="Normal_GECF Third Party Associations - Full Security Review v1.1" xfId="8" xr:uid="{00000000-0005-0000-0000-000008000000}"/>
    <cellStyle name="Normal_Guidelines" xfId="9" xr:uid="{00000000-0005-0000-0000-000009000000}"/>
    <cellStyle name="Normal_Worksheet in AuditRiskInfoSecUpdate070909" xfId="10" xr:uid="{00000000-0005-0000-0000-00000A000000}"/>
  </cellStyles>
  <dxfs count="2">
    <dxf>
      <font>
        <condense val="0"/>
        <extend val="0"/>
        <color indexed="9"/>
      </font>
    </dxf>
    <dxf>
      <font>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9525</xdr:rowOff>
        </xdr:from>
        <xdr:to>
          <xdr:col>1</xdr:col>
          <xdr:colOff>1057275</xdr:colOff>
          <xdr:row>3</xdr:row>
          <xdr:rowOff>342900</xdr:rowOff>
        </xdr:to>
        <xdr:sp macro="" textlink="">
          <xdr:nvSpPr>
            <xdr:cNvPr id="9217" name="Summary_Button"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9525</xdr:rowOff>
        </xdr:from>
        <xdr:to>
          <xdr:col>1</xdr:col>
          <xdr:colOff>1057275</xdr:colOff>
          <xdr:row>3</xdr:row>
          <xdr:rowOff>342900</xdr:rowOff>
        </xdr:to>
        <xdr:sp macro="" textlink="">
          <xdr:nvSpPr>
            <xdr:cNvPr id="10241" name="Summary_Button"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place.consfin.ge.com/Documents%20and%20Settings/mflierma/Desktop/eBusiness/ISP_Worksheet%20v1.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lestones"/>
      <sheetName val="Responsibilities"/>
      <sheetName val="Define-Project Info"/>
      <sheetName val="On-Site Audit Checklist"/>
      <sheetName val="Template"/>
    </sheetNames>
    <sheetDataSet>
      <sheetData sheetId="0">
        <row r="24">
          <cell r="B24" t="str">
            <v>Yes</v>
          </cell>
        </row>
        <row r="25">
          <cell r="B25" t="str">
            <v>No</v>
          </cell>
        </row>
        <row r="26">
          <cell r="B26" t="str">
            <v>n/a</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Violet II">
      <a:dk1>
        <a:sysClr val="windowText" lastClr="000000"/>
      </a:dk1>
      <a:lt1>
        <a:sysClr val="window" lastClr="FFFFFF"/>
      </a:lt1>
      <a:dk2>
        <a:srgbClr val="632E62"/>
      </a:dk2>
      <a:lt2>
        <a:srgbClr val="EAE5EB"/>
      </a:lt2>
      <a:accent1>
        <a:srgbClr val="92278F"/>
      </a:accent1>
      <a:accent2>
        <a:srgbClr val="9B57D3"/>
      </a:accent2>
      <a:accent3>
        <a:srgbClr val="755DD9"/>
      </a:accent3>
      <a:accent4>
        <a:srgbClr val="665EB8"/>
      </a:accent4>
      <a:accent5>
        <a:srgbClr val="45A5ED"/>
      </a:accent5>
      <a:accent6>
        <a:srgbClr val="5982DB"/>
      </a:accent6>
      <a:hlink>
        <a:srgbClr val="0066FF"/>
      </a:hlink>
      <a:folHlink>
        <a:srgbClr val="666699"/>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image" Target="../media/image2.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676D-0595-4167-AB8D-693827D9FE21}">
  <dimension ref="A1:M15"/>
  <sheetViews>
    <sheetView tabSelected="1" workbookViewId="0">
      <selection activeCell="G14" sqref="G14"/>
    </sheetView>
  </sheetViews>
  <sheetFormatPr defaultRowHeight="15"/>
  <cols>
    <col min="1" max="1" width="7.140625" customWidth="1"/>
    <col min="2" max="2" width="7" customWidth="1"/>
    <col min="12" max="12" width="30" customWidth="1"/>
  </cols>
  <sheetData>
    <row r="1" spans="1:13" s="112" customFormat="1" ht="21.75" thickBot="1">
      <c r="F1" s="167" t="s">
        <v>199</v>
      </c>
      <c r="G1" s="167"/>
    </row>
    <row r="2" spans="1:13" s="112" customFormat="1" ht="21" thickBot="1">
      <c r="A2" s="110"/>
      <c r="B2" s="122"/>
      <c r="C2" s="168" t="s">
        <v>15</v>
      </c>
      <c r="D2" s="169"/>
      <c r="E2" s="170"/>
      <c r="F2" s="171"/>
      <c r="G2" s="172"/>
      <c r="H2" s="173" t="s">
        <v>186</v>
      </c>
      <c r="I2" s="174"/>
      <c r="J2" s="175"/>
      <c r="K2" s="175"/>
      <c r="L2" s="176"/>
      <c r="M2" s="122"/>
    </row>
    <row r="3" spans="1:13" s="112" customFormat="1" ht="15.75">
      <c r="A3" s="110"/>
      <c r="B3" s="122"/>
      <c r="C3" s="123" t="s">
        <v>16</v>
      </c>
      <c r="D3" s="161" t="s">
        <v>146</v>
      </c>
      <c r="E3" s="162"/>
      <c r="F3" s="124"/>
      <c r="G3" s="124"/>
      <c r="H3" s="163" t="s">
        <v>148</v>
      </c>
      <c r="I3" s="164"/>
      <c r="J3" s="165"/>
      <c r="K3" s="165"/>
      <c r="L3" s="166"/>
      <c r="M3" s="122"/>
    </row>
    <row r="4" spans="1:13" s="112" customFormat="1" ht="16.5" thickBot="1">
      <c r="A4" s="110"/>
      <c r="B4" s="122"/>
      <c r="C4" s="125" t="s">
        <v>17</v>
      </c>
      <c r="D4" s="177" t="s">
        <v>19</v>
      </c>
      <c r="E4" s="178"/>
      <c r="F4" s="124"/>
      <c r="G4" s="124"/>
      <c r="H4" s="179" t="s">
        <v>149</v>
      </c>
      <c r="I4" s="180"/>
      <c r="J4" s="181"/>
      <c r="K4" s="181"/>
      <c r="L4" s="182"/>
      <c r="M4" s="122"/>
    </row>
    <row r="5" spans="1:13" s="112" customFormat="1" ht="16.5" thickBot="1">
      <c r="A5" s="110"/>
      <c r="B5" s="122"/>
      <c r="C5" s="126" t="s">
        <v>18</v>
      </c>
      <c r="D5" s="183" t="s">
        <v>187</v>
      </c>
      <c r="E5" s="184"/>
      <c r="F5" s="122"/>
      <c r="G5" s="122"/>
      <c r="H5" s="122"/>
      <c r="I5" s="122"/>
      <c r="J5" s="122"/>
      <c r="K5" s="122"/>
      <c r="L5" s="122"/>
      <c r="M5" s="122"/>
    </row>
    <row r="6" spans="1:13" s="112" customFormat="1" ht="12.75" customHeight="1" thickBot="1">
      <c r="A6" s="110"/>
      <c r="B6" s="122"/>
      <c r="C6" s="127"/>
      <c r="D6" s="127"/>
      <c r="E6" s="127"/>
      <c r="F6" s="127"/>
      <c r="G6" s="127"/>
      <c r="H6" s="127"/>
      <c r="I6" s="127"/>
      <c r="J6" s="127"/>
      <c r="K6" s="127"/>
      <c r="L6" s="127"/>
      <c r="M6" s="127"/>
    </row>
    <row r="7" spans="1:13" s="112" customFormat="1" ht="17.25" customHeight="1">
      <c r="A7" s="110"/>
      <c r="B7" s="124"/>
      <c r="C7" s="173" t="s">
        <v>147</v>
      </c>
      <c r="D7" s="185"/>
      <c r="E7" s="186"/>
      <c r="F7" s="187"/>
      <c r="G7" s="124"/>
      <c r="H7" s="173" t="s">
        <v>151</v>
      </c>
      <c r="I7" s="188"/>
      <c r="J7" s="188"/>
      <c r="K7" s="174"/>
      <c r="L7" s="128"/>
      <c r="M7" s="124"/>
    </row>
    <row r="8" spans="1:13" s="112" customFormat="1" ht="15.75" thickBot="1">
      <c r="A8" s="110"/>
      <c r="B8" s="124"/>
      <c r="C8" s="163" t="s">
        <v>148</v>
      </c>
      <c r="D8" s="198"/>
      <c r="E8" s="199"/>
      <c r="F8" s="200"/>
      <c r="G8" s="124"/>
      <c r="H8" s="179" t="s">
        <v>150</v>
      </c>
      <c r="I8" s="201"/>
      <c r="J8" s="201"/>
      <c r="K8" s="180"/>
      <c r="L8" s="129"/>
      <c r="M8" s="124"/>
    </row>
    <row r="9" spans="1:13" s="112" customFormat="1" ht="15" customHeight="1" thickBot="1">
      <c r="A9" s="110"/>
      <c r="B9" s="124"/>
      <c r="C9" s="179" t="s">
        <v>149</v>
      </c>
      <c r="D9" s="202"/>
      <c r="E9" s="203"/>
      <c r="F9" s="204"/>
      <c r="G9" s="124"/>
      <c r="H9" s="124"/>
      <c r="I9" s="124"/>
      <c r="J9" s="124"/>
      <c r="K9" s="124"/>
      <c r="L9" s="124"/>
      <c r="M9" s="124"/>
    </row>
    <row r="10" spans="1:13" s="112" customFormat="1" ht="15.75" thickBot="1">
      <c r="A10" s="110"/>
      <c r="B10" s="124"/>
      <c r="C10" s="124"/>
      <c r="D10" s="124"/>
      <c r="E10" s="124"/>
      <c r="F10" s="124"/>
      <c r="G10" s="124"/>
      <c r="H10" s="124"/>
      <c r="I10" s="124"/>
      <c r="J10" s="124"/>
      <c r="K10" s="124"/>
      <c r="L10" s="124"/>
      <c r="M10" s="124"/>
    </row>
    <row r="11" spans="1:13" ht="15" customHeight="1">
      <c r="H11" s="189" t="s">
        <v>200</v>
      </c>
      <c r="I11" s="190"/>
      <c r="J11" s="190"/>
      <c r="K11" s="190"/>
      <c r="L11" s="191"/>
    </row>
    <row r="12" spans="1:13">
      <c r="H12" s="192"/>
      <c r="I12" s="193"/>
      <c r="J12" s="193"/>
      <c r="K12" s="193"/>
      <c r="L12" s="194"/>
    </row>
    <row r="13" spans="1:13">
      <c r="H13" s="192"/>
      <c r="I13" s="193"/>
      <c r="J13" s="193"/>
      <c r="K13" s="193"/>
      <c r="L13" s="194"/>
    </row>
    <row r="14" spans="1:13">
      <c r="H14" s="192"/>
      <c r="I14" s="193"/>
      <c r="J14" s="193"/>
      <c r="K14" s="193"/>
      <c r="L14" s="194"/>
    </row>
    <row r="15" spans="1:13" ht="15.75" thickBot="1">
      <c r="H15" s="195"/>
      <c r="I15" s="196"/>
      <c r="J15" s="196"/>
      <c r="K15" s="196"/>
      <c r="L15" s="197"/>
    </row>
  </sheetData>
  <mergeCells count="21">
    <mergeCell ref="H11:L15"/>
    <mergeCell ref="C8:D8"/>
    <mergeCell ref="E8:F8"/>
    <mergeCell ref="H8:K8"/>
    <mergeCell ref="C9:D9"/>
    <mergeCell ref="E9:F9"/>
    <mergeCell ref="D4:E4"/>
    <mergeCell ref="H4:I4"/>
    <mergeCell ref="J4:L4"/>
    <mergeCell ref="D5:E5"/>
    <mergeCell ref="C7:D7"/>
    <mergeCell ref="E7:F7"/>
    <mergeCell ref="H7:K7"/>
    <mergeCell ref="D3:E3"/>
    <mergeCell ref="H3:I3"/>
    <mergeCell ref="J3:L3"/>
    <mergeCell ref="F1:G1"/>
    <mergeCell ref="C2:E2"/>
    <mergeCell ref="F2:G2"/>
    <mergeCell ref="H2:I2"/>
    <mergeCell ref="J2:L2"/>
  </mergeCells>
  <dataValidations count="5">
    <dataValidation type="list" allowBlank="1" showInputMessage="1" showErrorMessage="1" promptTitle="SignedOff" prompt="Select either Yes or No." sqref="L7" xr:uid="{1C1CEDF7-B8EB-42D2-8333-2E5EDF1FA413}">
      <formula1>"Yes,No"</formula1>
    </dataValidation>
    <dataValidation allowBlank="1" showInputMessage="1" showErrorMessage="1" promptTitle="BusinessName" prompt="Enter the business names(s)." sqref="E7:F7" xr:uid="{B72CEB6F-9B0F-4BB6-8519-707A6C777B62}"/>
    <dataValidation allowBlank="1" showInputMessage="1" showErrorMessage="1" promptTitle="BISO" prompt="Enter Business Information Security Officer/Your Name." sqref="E8:F8" xr:uid="{58D43256-EF88-46F4-BDFB-2E7BE5356752}"/>
    <dataValidation allowBlank="1" showInputMessage="1" showErrorMessage="1" promptTitle="SingedOffDate" prompt="Enter the date the sign off was achieved with the local business." sqref="L8" xr:uid="{C891E057-F4A9-486D-972F-3C0D7553A432}"/>
    <dataValidation allowBlank="1" showInputMessage="1" showErrorMessage="1" promptTitle="CompletionDate" prompt="Enter date when the Asset Inventory was completed." sqref="E9:F9" xr:uid="{3FFE0CCB-BE7C-4BB4-90D4-E671F15BFFD0}"/>
  </dataValidations>
  <hyperlinks>
    <hyperlink ref="D3:E3" location="InformationAssetInventory!A1" display="Information Asset Inventory" xr:uid="{CFBB1043-90CD-4DA4-A99D-349ED82DEF68}"/>
    <hyperlink ref="D4:E4" location="Guidelines!A1" display="Guidelines" xr:uid="{F00822C1-A34C-424C-8891-593460AC763D}"/>
    <hyperlink ref="D5:E5" location="'GAP Analysis'!A1" display="Gap Analysis" xr:uid="{EF2C767E-56EE-4D66-941C-6CBE3688F221}"/>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G242"/>
  <sheetViews>
    <sheetView topLeftCell="G1" zoomScale="60" zoomScaleNormal="60" zoomScaleSheetLayoutView="40" workbookViewId="0">
      <selection activeCell="R3" sqref="R3"/>
    </sheetView>
  </sheetViews>
  <sheetFormatPr defaultColWidth="0" defaultRowHeight="15"/>
  <cols>
    <col min="1" max="1" width="5.7109375" customWidth="1"/>
    <col min="2" max="4" width="26" customWidth="1"/>
    <col min="5" max="6" width="30.7109375" customWidth="1"/>
    <col min="7" max="7" width="32" customWidth="1"/>
    <col min="8" max="8" width="15.5703125" style="100" customWidth="1"/>
    <col min="9" max="10" width="15.5703125" customWidth="1"/>
    <col min="11" max="13" width="25.7109375" customWidth="1"/>
    <col min="14" max="15" width="28.42578125" customWidth="1"/>
    <col min="16" max="17" width="38.140625" customWidth="1"/>
    <col min="18" max="18" width="4.42578125" style="110" customWidth="1"/>
    <col min="19" max="19" width="51.42578125" hidden="1" customWidth="1"/>
    <col min="20" max="20" width="42.140625" hidden="1" customWidth="1"/>
    <col min="21" max="16384" width="9.140625" hidden="1"/>
  </cols>
  <sheetData>
    <row r="1" spans="1:33" s="5" customFormat="1" ht="63" customHeight="1" thickBot="1">
      <c r="A1" s="9" t="s">
        <v>146</v>
      </c>
      <c r="B1" s="8"/>
      <c r="C1" s="8"/>
      <c r="D1" s="8"/>
      <c r="E1" s="8"/>
      <c r="F1" s="8"/>
      <c r="G1" s="8"/>
      <c r="H1" s="8"/>
      <c r="I1" s="8"/>
      <c r="J1" s="8"/>
      <c r="K1" s="8"/>
      <c r="L1" s="8"/>
      <c r="M1" s="8"/>
      <c r="N1" s="8"/>
      <c r="O1" s="8"/>
      <c r="P1" s="8"/>
      <c r="Q1" s="8"/>
      <c r="R1" s="105"/>
      <c r="S1" s="8"/>
      <c r="T1" s="10"/>
      <c r="W1" s="6"/>
      <c r="X1" s="6"/>
      <c r="Y1" s="6"/>
      <c r="Z1" s="6"/>
      <c r="AA1" s="6"/>
      <c r="AB1" s="6"/>
      <c r="AC1" s="6"/>
      <c r="AD1" s="6"/>
      <c r="AE1" s="6"/>
      <c r="AF1" s="6"/>
      <c r="AG1" s="6"/>
    </row>
    <row r="2" spans="1:33" s="152" customFormat="1" ht="16.5" customHeight="1" thickBot="1">
      <c r="A2" s="158"/>
      <c r="B2" s="207" t="s">
        <v>26</v>
      </c>
      <c r="C2" s="208"/>
      <c r="D2" s="209"/>
      <c r="E2" s="207" t="s">
        <v>25</v>
      </c>
      <c r="F2" s="208"/>
      <c r="G2" s="208"/>
      <c r="H2" s="208"/>
      <c r="I2" s="208"/>
      <c r="J2" s="208"/>
      <c r="K2" s="208"/>
      <c r="L2" s="208"/>
      <c r="M2" s="208"/>
      <c r="N2" s="209"/>
      <c r="O2" s="154"/>
      <c r="P2" s="205" t="s">
        <v>22</v>
      </c>
      <c r="Q2" s="206"/>
      <c r="R2" s="106"/>
      <c r="S2" s="155" t="s">
        <v>113</v>
      </c>
      <c r="T2" s="156" t="s">
        <v>54</v>
      </c>
      <c r="W2" s="157"/>
      <c r="X2" s="157"/>
      <c r="Y2" s="157"/>
      <c r="Z2" s="157"/>
      <c r="AA2" s="157"/>
      <c r="AB2" s="157"/>
      <c r="AC2" s="157"/>
      <c r="AD2" s="157"/>
      <c r="AE2" s="157"/>
      <c r="AF2" s="157"/>
      <c r="AG2" s="157"/>
    </row>
    <row r="3" spans="1:33" s="152" customFormat="1" ht="87" customHeight="1" thickBot="1">
      <c r="A3" s="144" t="s">
        <v>153</v>
      </c>
      <c r="B3" s="145" t="s">
        <v>197</v>
      </c>
      <c r="C3" s="146" t="s">
        <v>163</v>
      </c>
      <c r="D3" s="147" t="s">
        <v>164</v>
      </c>
      <c r="E3" s="145" t="s">
        <v>165</v>
      </c>
      <c r="F3" s="148" t="s">
        <v>166</v>
      </c>
      <c r="G3" s="149" t="s">
        <v>167</v>
      </c>
      <c r="H3" s="149" t="s">
        <v>168</v>
      </c>
      <c r="I3" s="149" t="s">
        <v>169</v>
      </c>
      <c r="J3" s="149" t="s">
        <v>170</v>
      </c>
      <c r="K3" s="148" t="s">
        <v>171</v>
      </c>
      <c r="L3" s="148" t="s">
        <v>121</v>
      </c>
      <c r="M3" s="148" t="s">
        <v>172</v>
      </c>
      <c r="N3" s="149" t="s">
        <v>173</v>
      </c>
      <c r="O3" s="150" t="s">
        <v>174</v>
      </c>
      <c r="P3" s="159" t="s">
        <v>175</v>
      </c>
      <c r="Q3" s="160" t="s">
        <v>176</v>
      </c>
      <c r="R3" s="107"/>
      <c r="S3" s="151" t="s">
        <v>23</v>
      </c>
      <c r="T3" s="151" t="s">
        <v>91</v>
      </c>
      <c r="W3" s="153"/>
      <c r="X3" s="153"/>
      <c r="Y3" s="153"/>
      <c r="Z3" s="153"/>
      <c r="AA3" s="153"/>
      <c r="AB3" s="153"/>
      <c r="AC3" s="153"/>
      <c r="AD3" s="153"/>
      <c r="AE3" s="153"/>
      <c r="AF3" s="153"/>
      <c r="AG3" s="153"/>
    </row>
    <row r="4" spans="1:33" ht="102" customHeight="1">
      <c r="A4" s="11" t="s">
        <v>29</v>
      </c>
      <c r="B4" s="37" t="s">
        <v>82</v>
      </c>
      <c r="C4" s="37" t="s">
        <v>83</v>
      </c>
      <c r="D4" s="38" t="s">
        <v>51</v>
      </c>
      <c r="E4" s="57" t="s">
        <v>21</v>
      </c>
      <c r="F4" s="58" t="s">
        <v>117</v>
      </c>
      <c r="G4" s="59" t="s">
        <v>28</v>
      </c>
      <c r="H4" s="60" t="s">
        <v>12</v>
      </c>
      <c r="I4" s="60" t="s">
        <v>12</v>
      </c>
      <c r="J4" s="61" t="s">
        <v>13</v>
      </c>
      <c r="K4" s="62" t="s">
        <v>24</v>
      </c>
      <c r="L4" s="62" t="s">
        <v>118</v>
      </c>
      <c r="M4" s="62" t="s">
        <v>119</v>
      </c>
      <c r="N4" s="72" t="s">
        <v>84</v>
      </c>
      <c r="O4" s="111" t="s">
        <v>162</v>
      </c>
      <c r="P4" s="39" t="s">
        <v>27</v>
      </c>
      <c r="Q4" s="40" t="s">
        <v>198</v>
      </c>
      <c r="R4" s="108"/>
      <c r="S4" s="55" t="s">
        <v>92</v>
      </c>
      <c r="T4" s="42"/>
      <c r="W4" s="2"/>
      <c r="X4" s="2"/>
      <c r="Y4" s="2"/>
      <c r="Z4" s="2"/>
      <c r="AA4" s="2"/>
      <c r="AB4" s="2"/>
      <c r="AC4" s="2"/>
      <c r="AD4" s="2"/>
      <c r="AE4" s="2"/>
      <c r="AF4" s="2"/>
      <c r="AG4" s="2"/>
    </row>
    <row r="5" spans="1:33" ht="15.75">
      <c r="A5" s="43">
        <v>1</v>
      </c>
      <c r="B5" s="113"/>
      <c r="C5" s="114"/>
      <c r="D5" s="115"/>
      <c r="E5" s="104"/>
      <c r="F5" s="45"/>
      <c r="G5" s="114"/>
      <c r="H5" s="48"/>
      <c r="I5" s="48"/>
      <c r="J5" s="48"/>
      <c r="K5" s="49"/>
      <c r="L5" s="49"/>
      <c r="M5" s="49"/>
      <c r="N5" s="113"/>
      <c r="O5" s="97"/>
      <c r="P5" s="53"/>
      <c r="Q5" s="116"/>
      <c r="R5" s="108"/>
      <c r="S5" s="52"/>
      <c r="T5" s="50"/>
      <c r="W5" s="2"/>
      <c r="X5" s="2"/>
      <c r="Y5" s="2"/>
      <c r="Z5" s="2"/>
      <c r="AA5" s="2"/>
      <c r="AB5" s="2"/>
      <c r="AC5" s="2"/>
      <c r="AD5" s="2"/>
      <c r="AE5" s="2"/>
      <c r="AF5" s="2"/>
      <c r="AG5" s="2"/>
    </row>
    <row r="6" spans="1:33" ht="15.75">
      <c r="A6" s="43">
        <v>2</v>
      </c>
      <c r="B6" s="113"/>
      <c r="C6" s="114"/>
      <c r="D6" s="115"/>
      <c r="E6" s="104"/>
      <c r="F6" s="45"/>
      <c r="G6" s="114"/>
      <c r="H6" s="48"/>
      <c r="I6" s="48"/>
      <c r="J6" s="48"/>
      <c r="K6" s="49"/>
      <c r="L6" s="49"/>
      <c r="M6" s="49"/>
      <c r="N6" s="113"/>
      <c r="O6" s="97"/>
      <c r="P6" s="53"/>
      <c r="Q6" s="116"/>
      <c r="R6" s="108"/>
      <c r="S6" s="52"/>
      <c r="T6" s="52"/>
      <c r="W6" s="2"/>
      <c r="X6" s="2"/>
      <c r="Y6" s="2"/>
      <c r="Z6" s="2"/>
      <c r="AA6" s="2"/>
      <c r="AB6" s="2"/>
      <c r="AC6" s="2"/>
      <c r="AD6" s="2"/>
      <c r="AE6" s="2"/>
      <c r="AF6" s="2"/>
      <c r="AG6" s="2"/>
    </row>
    <row r="7" spans="1:33" ht="15.75">
      <c r="A7" s="43">
        <v>3</v>
      </c>
      <c r="B7" s="113"/>
      <c r="C7" s="114"/>
      <c r="D7" s="115"/>
      <c r="E7" s="104"/>
      <c r="F7" s="45"/>
      <c r="G7" s="114"/>
      <c r="H7" s="48"/>
      <c r="I7" s="48"/>
      <c r="J7" s="48"/>
      <c r="K7" s="49"/>
      <c r="L7" s="49"/>
      <c r="M7" s="49"/>
      <c r="N7" s="113"/>
      <c r="O7" s="97"/>
      <c r="P7" s="53"/>
      <c r="Q7" s="116"/>
      <c r="R7" s="108"/>
      <c r="S7" s="52"/>
      <c r="T7" s="52"/>
      <c r="W7" s="2"/>
      <c r="X7" s="2"/>
      <c r="Y7" s="2"/>
      <c r="Z7" s="2"/>
      <c r="AA7" s="2"/>
      <c r="AB7" s="2"/>
      <c r="AC7" s="2"/>
      <c r="AD7" s="2"/>
      <c r="AE7" s="2"/>
      <c r="AF7" s="2"/>
      <c r="AG7" s="2"/>
    </row>
    <row r="8" spans="1:33" ht="15.75">
      <c r="A8" s="43">
        <v>4</v>
      </c>
      <c r="B8" s="113"/>
      <c r="C8" s="114"/>
      <c r="D8" s="115"/>
      <c r="E8" s="104"/>
      <c r="F8" s="45"/>
      <c r="G8" s="114"/>
      <c r="H8" s="48"/>
      <c r="I8" s="48"/>
      <c r="J8" s="48"/>
      <c r="K8" s="49"/>
      <c r="L8" s="49"/>
      <c r="M8" s="49"/>
      <c r="N8" s="113"/>
      <c r="O8" s="97"/>
      <c r="P8" s="53"/>
      <c r="Q8" s="116"/>
      <c r="R8" s="108"/>
      <c r="S8" s="52"/>
      <c r="T8" s="52"/>
      <c r="W8" s="2"/>
      <c r="X8" s="2"/>
      <c r="Y8" s="2"/>
      <c r="Z8" s="2"/>
      <c r="AA8" s="2"/>
      <c r="AB8" s="2"/>
      <c r="AC8" s="2"/>
      <c r="AD8" s="2"/>
      <c r="AE8" s="2"/>
      <c r="AF8" s="2"/>
      <c r="AG8" s="2"/>
    </row>
    <row r="9" spans="1:33" ht="15.75">
      <c r="A9" s="43">
        <v>5</v>
      </c>
      <c r="B9" s="113"/>
      <c r="C9" s="114"/>
      <c r="D9" s="115"/>
      <c r="E9" s="104"/>
      <c r="F9" s="45"/>
      <c r="G9" s="114"/>
      <c r="H9" s="48"/>
      <c r="I9" s="48"/>
      <c r="J9" s="48"/>
      <c r="K9" s="49"/>
      <c r="L9" s="49"/>
      <c r="M9" s="49"/>
      <c r="N9" s="113"/>
      <c r="O9" s="97"/>
      <c r="P9" s="53"/>
      <c r="Q9" s="116"/>
      <c r="R9" s="108"/>
      <c r="S9" s="52"/>
      <c r="T9" s="52"/>
      <c r="W9" s="2"/>
      <c r="X9" s="2"/>
      <c r="Y9" s="2"/>
      <c r="Z9" s="2"/>
      <c r="AA9" s="2"/>
      <c r="AB9" s="2"/>
      <c r="AC9" s="2"/>
      <c r="AD9" s="2"/>
      <c r="AE9" s="2"/>
      <c r="AF9" s="2"/>
      <c r="AG9" s="2"/>
    </row>
    <row r="10" spans="1:33" ht="15.75">
      <c r="A10" s="43">
        <v>6</v>
      </c>
      <c r="B10" s="113"/>
      <c r="C10" s="114"/>
      <c r="D10" s="115"/>
      <c r="E10" s="104"/>
      <c r="F10" s="45"/>
      <c r="G10" s="114"/>
      <c r="H10" s="48"/>
      <c r="I10" s="48"/>
      <c r="J10" s="48"/>
      <c r="K10" s="49"/>
      <c r="L10" s="49"/>
      <c r="M10" s="49"/>
      <c r="N10" s="113"/>
      <c r="O10" s="97"/>
      <c r="P10" s="53"/>
      <c r="Q10" s="116"/>
      <c r="R10" s="108"/>
      <c r="S10" s="56"/>
      <c r="T10" s="52"/>
      <c r="W10" s="2"/>
      <c r="X10" s="2"/>
      <c r="Y10" s="2"/>
      <c r="Z10" s="2"/>
      <c r="AA10" s="2"/>
      <c r="AB10" s="2"/>
      <c r="AC10" s="2"/>
      <c r="AD10" s="2"/>
      <c r="AE10" s="2"/>
      <c r="AF10" s="2"/>
      <c r="AG10" s="2"/>
    </row>
    <row r="11" spans="1:33" ht="15.75">
      <c r="A11" s="43">
        <v>7</v>
      </c>
      <c r="B11" s="113"/>
      <c r="C11" s="114"/>
      <c r="D11" s="115"/>
      <c r="E11" s="104"/>
      <c r="F11" s="45"/>
      <c r="G11" s="114"/>
      <c r="H11" s="48"/>
      <c r="I11" s="48"/>
      <c r="J11" s="48"/>
      <c r="K11" s="49"/>
      <c r="L11" s="49"/>
      <c r="M11" s="49"/>
      <c r="N11" s="113"/>
      <c r="O11" s="97"/>
      <c r="P11" s="53"/>
      <c r="Q11" s="116"/>
      <c r="R11" s="108"/>
      <c r="S11" s="52"/>
      <c r="T11" s="52"/>
      <c r="W11" s="2"/>
      <c r="X11" s="2"/>
      <c r="Y11" s="2"/>
      <c r="Z11" s="2"/>
      <c r="AA11" s="2"/>
      <c r="AB11" s="2"/>
      <c r="AC11" s="2"/>
      <c r="AD11" s="2"/>
      <c r="AE11" s="2"/>
      <c r="AF11" s="2"/>
      <c r="AG11" s="2"/>
    </row>
    <row r="12" spans="1:33" ht="15.75">
      <c r="A12" s="43">
        <v>8</v>
      </c>
      <c r="B12" s="113"/>
      <c r="C12" s="114"/>
      <c r="D12" s="115"/>
      <c r="E12" s="104"/>
      <c r="F12" s="45"/>
      <c r="G12" s="114"/>
      <c r="H12" s="48"/>
      <c r="I12" s="48"/>
      <c r="J12" s="48"/>
      <c r="K12" s="49"/>
      <c r="L12" s="49"/>
      <c r="M12" s="49"/>
      <c r="N12" s="113"/>
      <c r="O12" s="97"/>
      <c r="P12" s="53"/>
      <c r="Q12" s="116"/>
      <c r="R12" s="108"/>
      <c r="S12" s="52"/>
      <c r="T12" s="52"/>
      <c r="W12" s="2"/>
      <c r="X12" s="2"/>
      <c r="Y12" s="2"/>
      <c r="Z12" s="2"/>
      <c r="AA12" s="2"/>
      <c r="AB12" s="2"/>
      <c r="AC12" s="2"/>
      <c r="AD12" s="2"/>
      <c r="AE12" s="2"/>
      <c r="AF12" s="2"/>
      <c r="AG12" s="2"/>
    </row>
    <row r="13" spans="1:33" ht="15.75">
      <c r="A13" s="43">
        <v>9</v>
      </c>
      <c r="B13" s="113"/>
      <c r="C13" s="114"/>
      <c r="D13" s="115"/>
      <c r="E13" s="104"/>
      <c r="F13" s="45"/>
      <c r="G13" s="114"/>
      <c r="H13" s="48"/>
      <c r="I13" s="48"/>
      <c r="J13" s="48"/>
      <c r="K13" s="49"/>
      <c r="L13" s="49"/>
      <c r="M13" s="49"/>
      <c r="N13" s="113"/>
      <c r="O13" s="97"/>
      <c r="P13" s="53"/>
      <c r="Q13" s="116"/>
      <c r="R13" s="108"/>
      <c r="S13" s="52"/>
      <c r="T13" s="52"/>
      <c r="W13" s="2"/>
      <c r="X13" s="2"/>
      <c r="Y13" s="2"/>
      <c r="Z13" s="2"/>
      <c r="AA13" s="2"/>
      <c r="AB13" s="2"/>
      <c r="AC13" s="2"/>
      <c r="AD13" s="2"/>
      <c r="AE13" s="2"/>
      <c r="AF13" s="2"/>
      <c r="AG13" s="2"/>
    </row>
    <row r="14" spans="1:33" ht="15.75">
      <c r="A14" s="43">
        <v>10</v>
      </c>
      <c r="B14" s="113"/>
      <c r="C14" s="114"/>
      <c r="D14" s="115"/>
      <c r="E14" s="104"/>
      <c r="F14" s="45"/>
      <c r="G14" s="114"/>
      <c r="H14" s="48"/>
      <c r="I14" s="48"/>
      <c r="J14" s="48"/>
      <c r="K14" s="49"/>
      <c r="L14" s="49"/>
      <c r="M14" s="49"/>
      <c r="N14" s="113"/>
      <c r="O14" s="97"/>
      <c r="P14" s="53"/>
      <c r="Q14" s="116"/>
      <c r="R14" s="108"/>
      <c r="S14" s="52"/>
      <c r="T14" s="52"/>
      <c r="W14" s="2"/>
      <c r="X14" s="2"/>
      <c r="Y14" s="2"/>
      <c r="Z14" s="2"/>
      <c r="AA14" s="2"/>
      <c r="AB14" s="2"/>
      <c r="AC14" s="2"/>
      <c r="AD14" s="2"/>
      <c r="AE14" s="2"/>
      <c r="AF14" s="2"/>
      <c r="AG14" s="2"/>
    </row>
    <row r="15" spans="1:33" ht="15.75">
      <c r="A15" s="43">
        <v>11</v>
      </c>
      <c r="B15" s="113"/>
      <c r="C15" s="114"/>
      <c r="D15" s="115"/>
      <c r="E15" s="104"/>
      <c r="F15" s="45"/>
      <c r="G15" s="114"/>
      <c r="H15" s="48"/>
      <c r="I15" s="48"/>
      <c r="J15" s="48"/>
      <c r="K15" s="49"/>
      <c r="L15" s="49"/>
      <c r="M15" s="49"/>
      <c r="N15" s="113"/>
      <c r="O15" s="97"/>
      <c r="P15" s="53"/>
      <c r="Q15" s="116"/>
      <c r="R15" s="108"/>
      <c r="S15" s="52"/>
      <c r="T15" s="52"/>
      <c r="W15" s="2"/>
      <c r="X15" s="2"/>
      <c r="Y15" s="2"/>
      <c r="Z15" s="2"/>
      <c r="AA15" s="2"/>
      <c r="AB15" s="2"/>
      <c r="AC15" s="2"/>
      <c r="AD15" s="2"/>
      <c r="AE15" s="2"/>
      <c r="AF15" s="2"/>
      <c r="AG15" s="2"/>
    </row>
    <row r="16" spans="1:33" ht="15.75">
      <c r="A16" s="43">
        <v>12</v>
      </c>
      <c r="B16" s="113"/>
      <c r="C16" s="114"/>
      <c r="D16" s="115"/>
      <c r="E16" s="104"/>
      <c r="F16" s="45"/>
      <c r="G16" s="114"/>
      <c r="H16" s="48"/>
      <c r="I16" s="48"/>
      <c r="J16" s="48"/>
      <c r="K16" s="49"/>
      <c r="L16" s="49"/>
      <c r="M16" s="49"/>
      <c r="N16" s="113"/>
      <c r="O16" s="97"/>
      <c r="P16" s="53"/>
      <c r="Q16" s="116"/>
      <c r="R16" s="108"/>
      <c r="S16" s="52"/>
      <c r="T16" s="52"/>
      <c r="W16" s="2"/>
      <c r="X16" s="2"/>
      <c r="Y16" s="2"/>
      <c r="Z16" s="2"/>
      <c r="AA16" s="2"/>
      <c r="AB16" s="2"/>
      <c r="AC16" s="2"/>
      <c r="AD16" s="2"/>
      <c r="AE16" s="2"/>
      <c r="AF16" s="2"/>
      <c r="AG16" s="2"/>
    </row>
    <row r="17" spans="1:33" ht="15.75">
      <c r="A17" s="43">
        <v>13</v>
      </c>
      <c r="B17" s="113"/>
      <c r="C17" s="114"/>
      <c r="D17" s="115"/>
      <c r="E17" s="104"/>
      <c r="F17" s="45"/>
      <c r="G17" s="114"/>
      <c r="H17" s="48"/>
      <c r="I17" s="48"/>
      <c r="J17" s="48"/>
      <c r="K17" s="49"/>
      <c r="L17" s="49"/>
      <c r="M17" s="49"/>
      <c r="N17" s="113"/>
      <c r="O17" s="97"/>
      <c r="P17" s="53"/>
      <c r="Q17" s="116"/>
      <c r="R17" s="108"/>
      <c r="S17" s="52"/>
      <c r="T17" s="52"/>
      <c r="W17" s="2"/>
      <c r="X17" s="2"/>
      <c r="Y17" s="2"/>
      <c r="Z17" s="2"/>
      <c r="AA17" s="2"/>
      <c r="AB17" s="2"/>
      <c r="AC17" s="2"/>
      <c r="AD17" s="2"/>
      <c r="AE17" s="2"/>
      <c r="AF17" s="2"/>
      <c r="AG17" s="2"/>
    </row>
    <row r="18" spans="1:33" ht="15.75">
      <c r="A18" s="43">
        <v>14</v>
      </c>
      <c r="B18" s="113"/>
      <c r="C18" s="114"/>
      <c r="D18" s="115"/>
      <c r="E18" s="104"/>
      <c r="F18" s="45"/>
      <c r="G18" s="114"/>
      <c r="H18" s="48"/>
      <c r="I18" s="48"/>
      <c r="J18" s="48"/>
      <c r="K18" s="49"/>
      <c r="L18" s="49"/>
      <c r="M18" s="49"/>
      <c r="N18" s="113"/>
      <c r="O18" s="97"/>
      <c r="P18" s="53"/>
      <c r="Q18" s="116"/>
      <c r="R18" s="108"/>
      <c r="S18" s="56"/>
      <c r="T18" s="52"/>
      <c r="W18" s="2"/>
      <c r="X18" s="2"/>
      <c r="Y18" s="2"/>
      <c r="Z18" s="2"/>
      <c r="AA18" s="2"/>
      <c r="AB18" s="2"/>
      <c r="AC18" s="2"/>
      <c r="AD18" s="2"/>
      <c r="AE18" s="2"/>
      <c r="AF18" s="2"/>
      <c r="AG18" s="2"/>
    </row>
    <row r="19" spans="1:33" ht="15.75">
      <c r="A19" s="43">
        <v>15</v>
      </c>
      <c r="B19" s="113"/>
      <c r="C19" s="114"/>
      <c r="D19" s="115"/>
      <c r="E19" s="104"/>
      <c r="F19" s="45"/>
      <c r="G19" s="114"/>
      <c r="H19" s="48"/>
      <c r="I19" s="48"/>
      <c r="J19" s="48"/>
      <c r="K19" s="49"/>
      <c r="L19" s="49"/>
      <c r="M19" s="49"/>
      <c r="N19" s="113"/>
      <c r="O19" s="97"/>
      <c r="P19" s="53"/>
      <c r="Q19" s="116"/>
      <c r="R19" s="108"/>
      <c r="S19" s="52"/>
      <c r="T19" s="52"/>
      <c r="W19" s="2"/>
      <c r="X19" s="2"/>
      <c r="Y19" s="2"/>
      <c r="Z19" s="2"/>
      <c r="AA19" s="2"/>
      <c r="AB19" s="2"/>
      <c r="AC19" s="2"/>
      <c r="AD19" s="2"/>
      <c r="AE19" s="2"/>
      <c r="AF19" s="2"/>
      <c r="AG19" s="2"/>
    </row>
    <row r="20" spans="1:33" ht="15.75">
      <c r="A20" s="43">
        <v>16</v>
      </c>
      <c r="B20" s="113"/>
      <c r="C20" s="114"/>
      <c r="D20" s="115"/>
      <c r="E20" s="104"/>
      <c r="F20" s="45"/>
      <c r="G20" s="114"/>
      <c r="H20" s="48"/>
      <c r="I20" s="48"/>
      <c r="J20" s="48"/>
      <c r="K20" s="49"/>
      <c r="L20" s="49"/>
      <c r="M20" s="49"/>
      <c r="N20" s="113"/>
      <c r="O20" s="97"/>
      <c r="P20" s="53"/>
      <c r="Q20" s="116"/>
      <c r="R20" s="108"/>
      <c r="S20" s="52"/>
      <c r="T20" s="52"/>
      <c r="W20" s="2"/>
      <c r="X20" s="2"/>
      <c r="Y20" s="2"/>
      <c r="Z20" s="2"/>
      <c r="AA20" s="2"/>
      <c r="AB20" s="2"/>
      <c r="AC20" s="2"/>
      <c r="AD20" s="2"/>
      <c r="AE20" s="2"/>
      <c r="AF20" s="2"/>
      <c r="AG20" s="2"/>
    </row>
    <row r="21" spans="1:33" ht="15.75">
      <c r="A21" s="43">
        <v>17</v>
      </c>
      <c r="B21" s="113"/>
      <c r="C21" s="114"/>
      <c r="D21" s="115"/>
      <c r="E21" s="104"/>
      <c r="F21" s="45"/>
      <c r="G21" s="114"/>
      <c r="H21" s="48"/>
      <c r="I21" s="48"/>
      <c r="J21" s="48"/>
      <c r="K21" s="49"/>
      <c r="L21" s="49"/>
      <c r="M21" s="49"/>
      <c r="N21" s="113"/>
      <c r="O21" s="97"/>
      <c r="P21" s="53"/>
      <c r="Q21" s="116"/>
      <c r="R21" s="108"/>
      <c r="S21" s="52"/>
      <c r="T21" s="52"/>
      <c r="W21" s="2"/>
      <c r="X21" s="2"/>
      <c r="Y21" s="2"/>
      <c r="Z21" s="2"/>
      <c r="AA21" s="2"/>
      <c r="AB21" s="2"/>
      <c r="AC21" s="2"/>
      <c r="AD21" s="2"/>
      <c r="AE21" s="2"/>
      <c r="AF21" s="2"/>
      <c r="AG21" s="2"/>
    </row>
    <row r="22" spans="1:33" ht="15.75">
      <c r="A22" s="43">
        <v>18</v>
      </c>
      <c r="B22" s="113"/>
      <c r="C22" s="114"/>
      <c r="D22" s="115"/>
      <c r="E22" s="104"/>
      <c r="F22" s="45"/>
      <c r="G22" s="114"/>
      <c r="H22" s="48"/>
      <c r="I22" s="48"/>
      <c r="J22" s="48"/>
      <c r="K22" s="49"/>
      <c r="L22" s="49"/>
      <c r="M22" s="49"/>
      <c r="N22" s="113"/>
      <c r="O22" s="97"/>
      <c r="P22" s="53"/>
      <c r="Q22" s="116"/>
      <c r="R22" s="108"/>
      <c r="S22" s="52"/>
      <c r="T22" s="52"/>
      <c r="W22" s="2"/>
      <c r="X22" s="2"/>
      <c r="Y22" s="2"/>
      <c r="Z22" s="2"/>
      <c r="AA22" s="2"/>
      <c r="AB22" s="2"/>
      <c r="AC22" s="2"/>
      <c r="AD22" s="2"/>
      <c r="AE22" s="2"/>
      <c r="AF22" s="2"/>
      <c r="AG22" s="2"/>
    </row>
    <row r="23" spans="1:33" ht="15.75">
      <c r="A23" s="43">
        <v>19</v>
      </c>
      <c r="B23" s="113"/>
      <c r="C23" s="114"/>
      <c r="D23" s="115"/>
      <c r="E23" s="104"/>
      <c r="F23" s="45"/>
      <c r="G23" s="114"/>
      <c r="H23" s="48"/>
      <c r="I23" s="48"/>
      <c r="J23" s="48"/>
      <c r="K23" s="49"/>
      <c r="L23" s="49"/>
      <c r="M23" s="49"/>
      <c r="N23" s="113"/>
      <c r="O23" s="97"/>
      <c r="P23" s="53"/>
      <c r="Q23" s="116"/>
      <c r="R23" s="108"/>
      <c r="S23" s="52"/>
      <c r="T23" s="52"/>
      <c r="W23" s="2"/>
      <c r="X23" s="2"/>
      <c r="Y23" s="2"/>
      <c r="Z23" s="2"/>
      <c r="AA23" s="2"/>
      <c r="AB23" s="2"/>
      <c r="AC23" s="2"/>
      <c r="AD23" s="2"/>
      <c r="AE23" s="2"/>
      <c r="AF23" s="2"/>
      <c r="AG23" s="2"/>
    </row>
    <row r="24" spans="1:33" ht="15.75">
      <c r="A24" s="43">
        <v>20</v>
      </c>
      <c r="B24" s="113"/>
      <c r="C24" s="114"/>
      <c r="D24" s="115"/>
      <c r="E24" s="104"/>
      <c r="F24" s="115"/>
      <c r="G24" s="114"/>
      <c r="H24" s="48"/>
      <c r="I24" s="48"/>
      <c r="J24" s="48"/>
      <c r="K24" s="49"/>
      <c r="L24" s="49"/>
      <c r="M24" s="49"/>
      <c r="N24" s="113"/>
      <c r="O24" s="97"/>
      <c r="P24" s="53"/>
      <c r="Q24" s="116"/>
      <c r="R24" s="108"/>
      <c r="S24" s="52"/>
      <c r="T24" s="52"/>
      <c r="W24" s="2"/>
      <c r="X24" s="2"/>
      <c r="Y24" s="2"/>
      <c r="Z24" s="2"/>
      <c r="AA24" s="2"/>
      <c r="AB24" s="2"/>
      <c r="AC24" s="2"/>
      <c r="AD24" s="2"/>
      <c r="AE24" s="2"/>
      <c r="AF24" s="2"/>
      <c r="AG24" s="2"/>
    </row>
    <row r="25" spans="1:33" ht="15.75">
      <c r="A25" s="43">
        <v>26</v>
      </c>
      <c r="B25" s="113"/>
      <c r="C25" s="114"/>
      <c r="D25" s="114"/>
      <c r="E25" s="104"/>
      <c r="F25" s="115"/>
      <c r="G25" s="114"/>
      <c r="H25" s="48"/>
      <c r="I25" s="48"/>
      <c r="J25" s="48"/>
      <c r="K25" s="49"/>
      <c r="L25" s="49"/>
      <c r="M25" s="49"/>
      <c r="N25" s="113"/>
      <c r="O25" s="97"/>
      <c r="P25" s="53"/>
      <c r="Q25" s="116"/>
      <c r="R25" s="108"/>
      <c r="S25" s="52"/>
      <c r="T25" s="52"/>
      <c r="W25" s="2"/>
      <c r="X25" s="2"/>
      <c r="Y25" s="2"/>
      <c r="Z25" s="2"/>
      <c r="AA25" s="2"/>
      <c r="AB25" s="2"/>
      <c r="AC25" s="2"/>
      <c r="AD25" s="2"/>
      <c r="AE25" s="2"/>
      <c r="AF25" s="2"/>
      <c r="AG25" s="2"/>
    </row>
    <row r="26" spans="1:33" ht="15.75">
      <c r="A26" s="43">
        <v>28</v>
      </c>
      <c r="B26" s="113"/>
      <c r="C26" s="114"/>
      <c r="D26" s="114"/>
      <c r="E26" s="104"/>
      <c r="F26" s="115"/>
      <c r="G26" s="114"/>
      <c r="H26" s="48"/>
      <c r="I26" s="48"/>
      <c r="J26" s="48"/>
      <c r="K26" s="49"/>
      <c r="L26" s="49"/>
      <c r="M26" s="49"/>
      <c r="N26" s="113"/>
      <c r="O26" s="97"/>
      <c r="P26" s="53"/>
      <c r="Q26" s="116"/>
      <c r="R26" s="108"/>
      <c r="S26" s="52"/>
      <c r="T26" s="52"/>
      <c r="W26" s="2"/>
      <c r="X26" s="2"/>
      <c r="Y26" s="2"/>
      <c r="Z26" s="2"/>
      <c r="AA26" s="2"/>
      <c r="AB26" s="2"/>
      <c r="AC26" s="2"/>
      <c r="AD26" s="2"/>
      <c r="AE26" s="2"/>
      <c r="AF26" s="2"/>
      <c r="AG26" s="2"/>
    </row>
    <row r="27" spans="1:33" ht="15.75">
      <c r="A27" s="43">
        <v>29</v>
      </c>
      <c r="B27" s="113"/>
      <c r="C27" s="114"/>
      <c r="D27" s="114"/>
      <c r="E27" s="104"/>
      <c r="F27" s="115"/>
      <c r="G27" s="114"/>
      <c r="H27" s="48"/>
      <c r="I27" s="48"/>
      <c r="J27" s="48"/>
      <c r="K27" s="49"/>
      <c r="L27" s="49"/>
      <c r="M27" s="49"/>
      <c r="N27" s="113"/>
      <c r="O27" s="97"/>
      <c r="P27" s="53"/>
      <c r="Q27" s="116"/>
      <c r="R27" s="108"/>
      <c r="S27" s="52"/>
      <c r="T27" s="52"/>
      <c r="W27" s="2"/>
      <c r="X27" s="2"/>
      <c r="Y27" s="2"/>
      <c r="Z27" s="2"/>
      <c r="AA27" s="2"/>
      <c r="AB27" s="2"/>
      <c r="AC27" s="2"/>
      <c r="AD27" s="2"/>
      <c r="AE27" s="2"/>
      <c r="AF27" s="2"/>
      <c r="AG27" s="2"/>
    </row>
    <row r="28" spans="1:33" ht="15.75">
      <c r="A28" s="43">
        <v>30</v>
      </c>
      <c r="B28" s="113"/>
      <c r="C28" s="114"/>
      <c r="D28" s="114"/>
      <c r="E28" s="104"/>
      <c r="F28" s="115"/>
      <c r="G28" s="114"/>
      <c r="H28" s="48"/>
      <c r="I28" s="48"/>
      <c r="J28" s="48"/>
      <c r="K28" s="49"/>
      <c r="L28" s="49"/>
      <c r="M28" s="49"/>
      <c r="N28" s="113"/>
      <c r="O28" s="97"/>
      <c r="P28" s="53"/>
      <c r="Q28" s="116"/>
      <c r="R28" s="108"/>
      <c r="S28" s="52"/>
      <c r="T28" s="52"/>
      <c r="W28" s="2"/>
      <c r="X28" s="2"/>
      <c r="Y28" s="2"/>
      <c r="Z28" s="2"/>
      <c r="AA28" s="2"/>
      <c r="AB28" s="2"/>
      <c r="AC28" s="2"/>
      <c r="AD28" s="2"/>
      <c r="AE28" s="2"/>
      <c r="AF28" s="2"/>
      <c r="AG28" s="2"/>
    </row>
    <row r="29" spans="1:33" ht="15.75">
      <c r="A29" s="43">
        <v>31</v>
      </c>
      <c r="B29" s="113"/>
      <c r="C29" s="44"/>
      <c r="D29" s="45"/>
      <c r="E29" s="104"/>
      <c r="F29" s="47"/>
      <c r="G29" s="44"/>
      <c r="H29" s="48"/>
      <c r="I29" s="48"/>
      <c r="J29" s="48"/>
      <c r="K29" s="49"/>
      <c r="L29" s="49"/>
      <c r="M29" s="49"/>
      <c r="N29" s="68"/>
      <c r="O29" s="67"/>
      <c r="P29" s="53"/>
      <c r="Q29" s="51"/>
      <c r="R29" s="108"/>
      <c r="S29" s="52"/>
      <c r="T29" s="52"/>
      <c r="W29" s="2"/>
      <c r="X29" s="2"/>
      <c r="Y29" s="2"/>
      <c r="Z29" s="2"/>
      <c r="AA29" s="2"/>
      <c r="AB29" s="2"/>
      <c r="AC29" s="2"/>
      <c r="AD29" s="2"/>
      <c r="AE29" s="2"/>
      <c r="AF29" s="2"/>
      <c r="AG29" s="2"/>
    </row>
    <row r="30" spans="1:33" s="102" customFormat="1" ht="15.75">
      <c r="A30" s="43">
        <v>32</v>
      </c>
      <c r="B30" s="113"/>
      <c r="C30" s="44"/>
      <c r="D30" s="45"/>
      <c r="E30" s="104"/>
      <c r="F30" s="47"/>
      <c r="G30" s="114"/>
      <c r="H30" s="48"/>
      <c r="I30" s="48"/>
      <c r="J30" s="48"/>
      <c r="K30" s="49"/>
      <c r="L30" s="49"/>
      <c r="M30" s="49"/>
      <c r="N30" s="68"/>
      <c r="O30" s="67"/>
      <c r="P30" s="53"/>
      <c r="Q30" s="51"/>
      <c r="R30" s="109"/>
      <c r="S30" s="101"/>
      <c r="T30" s="101"/>
      <c r="W30" s="103"/>
      <c r="X30" s="103"/>
      <c r="Y30" s="103"/>
      <c r="Z30" s="103"/>
      <c r="AA30" s="103"/>
      <c r="AB30" s="103"/>
      <c r="AC30" s="103"/>
      <c r="AD30" s="103"/>
      <c r="AE30" s="103"/>
      <c r="AF30" s="103"/>
      <c r="AG30" s="103"/>
    </row>
    <row r="31" spans="1:33" ht="15.75">
      <c r="A31" s="43">
        <v>33</v>
      </c>
      <c r="B31" s="44"/>
      <c r="C31" s="44"/>
      <c r="D31" s="45"/>
      <c r="E31" s="46"/>
      <c r="F31" s="47"/>
      <c r="G31" s="44"/>
      <c r="H31" s="48"/>
      <c r="I31" s="48"/>
      <c r="J31" s="48"/>
      <c r="K31" s="49"/>
      <c r="L31" s="49"/>
      <c r="M31" s="49"/>
      <c r="N31" s="68"/>
      <c r="O31" s="67"/>
      <c r="P31" s="53"/>
      <c r="Q31" s="51"/>
      <c r="R31" s="108"/>
      <c r="S31" s="52"/>
      <c r="T31" s="52"/>
      <c r="W31" s="2"/>
      <c r="X31" s="2"/>
      <c r="Y31" s="2"/>
      <c r="Z31" s="2"/>
      <c r="AA31" s="2"/>
      <c r="AB31" s="2"/>
      <c r="AC31" s="2"/>
      <c r="AD31" s="2"/>
      <c r="AE31" s="2"/>
      <c r="AF31" s="2"/>
      <c r="AG31" s="2"/>
    </row>
    <row r="32" spans="1:33" ht="15.75">
      <c r="A32" s="43">
        <v>34</v>
      </c>
      <c r="B32" s="44"/>
      <c r="C32" s="44"/>
      <c r="D32" s="45"/>
      <c r="E32" s="46"/>
      <c r="F32" s="47"/>
      <c r="G32" s="44"/>
      <c r="H32" s="48"/>
      <c r="I32" s="48"/>
      <c r="J32" s="48"/>
      <c r="K32" s="49"/>
      <c r="L32" s="49"/>
      <c r="M32" s="49"/>
      <c r="N32" s="68"/>
      <c r="O32" s="67"/>
      <c r="P32" s="53"/>
      <c r="Q32" s="51"/>
      <c r="S32" s="52"/>
      <c r="T32" s="52"/>
    </row>
    <row r="33" spans="1:20" ht="15.75">
      <c r="A33" s="43">
        <v>35</v>
      </c>
      <c r="B33" s="44"/>
      <c r="C33" s="44"/>
      <c r="D33" s="45"/>
      <c r="E33" s="46"/>
      <c r="F33" s="47"/>
      <c r="G33" s="44"/>
      <c r="H33" s="48"/>
      <c r="I33" s="48"/>
      <c r="J33" s="48"/>
      <c r="K33" s="49"/>
      <c r="L33" s="49"/>
      <c r="M33" s="49"/>
      <c r="N33" s="68"/>
      <c r="O33" s="67"/>
      <c r="P33" s="53"/>
      <c r="Q33" s="51"/>
      <c r="S33" s="52"/>
      <c r="T33" s="52"/>
    </row>
    <row r="34" spans="1:20" ht="15.75">
      <c r="A34" s="43">
        <v>36</v>
      </c>
      <c r="B34" s="44"/>
      <c r="C34" s="44"/>
      <c r="D34" s="45"/>
      <c r="E34" s="46"/>
      <c r="F34" s="47"/>
      <c r="G34" s="44"/>
      <c r="H34" s="48"/>
      <c r="I34" s="48"/>
      <c r="J34" s="48"/>
      <c r="K34" s="49"/>
      <c r="L34" s="49"/>
      <c r="M34" s="49"/>
      <c r="N34" s="68"/>
      <c r="O34" s="67"/>
      <c r="P34" s="53"/>
      <c r="Q34" s="51"/>
      <c r="S34" s="52"/>
      <c r="T34" s="52"/>
    </row>
    <row r="35" spans="1:20" ht="15.75">
      <c r="A35" s="43">
        <v>37</v>
      </c>
      <c r="B35" s="44"/>
      <c r="C35" s="44"/>
      <c r="D35" s="45"/>
      <c r="E35" s="46"/>
      <c r="F35" s="47"/>
      <c r="G35" s="44"/>
      <c r="H35" s="48"/>
      <c r="I35" s="48"/>
      <c r="J35" s="48"/>
      <c r="K35" s="49"/>
      <c r="L35" s="49"/>
      <c r="M35" s="49"/>
      <c r="N35" s="68"/>
      <c r="O35" s="67"/>
      <c r="P35" s="53"/>
      <c r="Q35" s="51"/>
      <c r="S35" s="52"/>
      <c r="T35" s="52"/>
    </row>
    <row r="36" spans="1:20" ht="15.75">
      <c r="A36" s="43">
        <v>38</v>
      </c>
      <c r="B36" s="44"/>
      <c r="C36" s="44"/>
      <c r="D36" s="45"/>
      <c r="E36" s="46"/>
      <c r="F36" s="47"/>
      <c r="G36" s="44"/>
      <c r="H36" s="48"/>
      <c r="I36" s="48"/>
      <c r="J36" s="48"/>
      <c r="K36" s="49"/>
      <c r="L36" s="49"/>
      <c r="M36" s="49"/>
      <c r="N36" s="68"/>
      <c r="O36" s="67"/>
      <c r="P36" s="53"/>
      <c r="Q36" s="51"/>
      <c r="S36" s="52"/>
      <c r="T36" s="52"/>
    </row>
    <row r="37" spans="1:20" ht="15.75">
      <c r="A37" s="43">
        <v>39</v>
      </c>
      <c r="B37" s="44"/>
      <c r="C37" s="44"/>
      <c r="D37" s="45"/>
      <c r="E37" s="46"/>
      <c r="F37" s="47"/>
      <c r="G37" s="44"/>
      <c r="H37" s="48"/>
      <c r="I37" s="48"/>
      <c r="J37" s="48"/>
      <c r="K37" s="49"/>
      <c r="L37" s="49"/>
      <c r="M37" s="49"/>
      <c r="N37" s="68"/>
      <c r="O37" s="67"/>
      <c r="P37" s="53"/>
      <c r="Q37" s="51"/>
      <c r="S37" s="52"/>
      <c r="T37" s="52"/>
    </row>
    <row r="38" spans="1:20" ht="15.75">
      <c r="A38" s="43">
        <v>40</v>
      </c>
      <c r="B38" s="44"/>
      <c r="C38" s="44"/>
      <c r="D38" s="45"/>
      <c r="E38" s="46"/>
      <c r="F38" s="47"/>
      <c r="G38" s="44"/>
      <c r="H38" s="48"/>
      <c r="I38" s="48"/>
      <c r="J38" s="48"/>
      <c r="K38" s="49"/>
      <c r="L38" s="49"/>
      <c r="M38" s="49"/>
      <c r="N38" s="68"/>
      <c r="O38" s="67"/>
      <c r="P38" s="53"/>
      <c r="Q38" s="51"/>
      <c r="S38" s="52"/>
      <c r="T38" s="52"/>
    </row>
    <row r="39" spans="1:20" ht="15.75">
      <c r="A39" s="43">
        <v>41</v>
      </c>
      <c r="B39" s="44"/>
      <c r="C39" s="44"/>
      <c r="D39" s="45"/>
      <c r="E39" s="46"/>
      <c r="F39" s="47"/>
      <c r="G39" s="44"/>
      <c r="H39" s="48"/>
      <c r="I39" s="48"/>
      <c r="J39" s="48"/>
      <c r="K39" s="49"/>
      <c r="L39" s="49"/>
      <c r="M39" s="49"/>
      <c r="N39" s="68"/>
      <c r="O39" s="67"/>
      <c r="P39" s="53"/>
      <c r="Q39" s="51"/>
      <c r="S39" s="52"/>
      <c r="T39" s="52"/>
    </row>
    <row r="40" spans="1:20" ht="15.75">
      <c r="A40" s="43">
        <v>42</v>
      </c>
      <c r="B40" s="44"/>
      <c r="C40" s="44"/>
      <c r="D40" s="45"/>
      <c r="E40" s="46"/>
      <c r="F40" s="47"/>
      <c r="G40" s="44"/>
      <c r="H40" s="48"/>
      <c r="I40" s="48"/>
      <c r="J40" s="48"/>
      <c r="K40" s="49"/>
      <c r="L40" s="49"/>
      <c r="M40" s="49"/>
      <c r="N40" s="68"/>
      <c r="O40" s="67"/>
      <c r="P40" s="53"/>
      <c r="Q40" s="51"/>
      <c r="S40" s="52"/>
      <c r="T40" s="52"/>
    </row>
    <row r="41" spans="1:20" ht="15.75">
      <c r="A41" s="43">
        <v>43</v>
      </c>
      <c r="B41" s="44"/>
      <c r="C41" s="44"/>
      <c r="D41" s="45"/>
      <c r="E41" s="46"/>
      <c r="F41" s="47"/>
      <c r="G41" s="44"/>
      <c r="H41" s="48"/>
      <c r="I41" s="48"/>
      <c r="J41" s="48"/>
      <c r="K41" s="49"/>
      <c r="L41" s="49"/>
      <c r="M41" s="49"/>
      <c r="N41" s="68"/>
      <c r="O41" s="67"/>
      <c r="P41" s="53"/>
      <c r="Q41" s="51"/>
      <c r="S41" s="52"/>
      <c r="T41" s="52"/>
    </row>
    <row r="42" spans="1:20" ht="15.75">
      <c r="A42" s="43">
        <v>44</v>
      </c>
      <c r="B42" s="44"/>
      <c r="C42" s="44"/>
      <c r="D42" s="45"/>
      <c r="E42" s="46"/>
      <c r="F42" s="47"/>
      <c r="G42" s="44"/>
      <c r="H42" s="48"/>
      <c r="I42" s="48"/>
      <c r="J42" s="48"/>
      <c r="K42" s="49"/>
      <c r="L42" s="49"/>
      <c r="M42" s="49"/>
      <c r="N42" s="68"/>
      <c r="O42" s="67"/>
      <c r="P42" s="53"/>
      <c r="Q42" s="51"/>
      <c r="S42" s="52"/>
      <c r="T42" s="52"/>
    </row>
    <row r="43" spans="1:20" ht="15.75">
      <c r="A43" s="43">
        <v>45</v>
      </c>
      <c r="B43" s="44"/>
      <c r="C43" s="44"/>
      <c r="D43" s="45"/>
      <c r="E43" s="46"/>
      <c r="F43" s="47"/>
      <c r="G43" s="44"/>
      <c r="H43" s="48"/>
      <c r="I43" s="48"/>
      <c r="J43" s="48"/>
      <c r="K43" s="49"/>
      <c r="L43" s="49"/>
      <c r="M43" s="49"/>
      <c r="N43" s="68"/>
      <c r="O43" s="67"/>
      <c r="P43" s="53"/>
      <c r="Q43" s="51"/>
      <c r="S43" s="52"/>
      <c r="T43" s="52"/>
    </row>
    <row r="44" spans="1:20" ht="15.75">
      <c r="A44" s="43">
        <v>46</v>
      </c>
      <c r="B44" s="44"/>
      <c r="C44" s="44"/>
      <c r="D44" s="45"/>
      <c r="E44" s="46"/>
      <c r="F44" s="47"/>
      <c r="G44" s="44"/>
      <c r="H44" s="48"/>
      <c r="I44" s="48"/>
      <c r="J44" s="48"/>
      <c r="K44" s="49"/>
      <c r="L44" s="49"/>
      <c r="M44" s="49"/>
      <c r="N44" s="68"/>
      <c r="O44" s="67"/>
      <c r="P44" s="53"/>
      <c r="Q44" s="51"/>
      <c r="S44" s="52"/>
      <c r="T44" s="52"/>
    </row>
    <row r="45" spans="1:20" ht="15.75">
      <c r="A45" s="43">
        <v>47</v>
      </c>
      <c r="B45" s="44"/>
      <c r="C45" s="44"/>
      <c r="D45" s="45"/>
      <c r="E45" s="46"/>
      <c r="F45" s="47"/>
      <c r="G45" s="44"/>
      <c r="H45" s="48"/>
      <c r="I45" s="48"/>
      <c r="J45" s="48"/>
      <c r="K45" s="49"/>
      <c r="L45" s="49"/>
      <c r="M45" s="49"/>
      <c r="N45" s="68"/>
      <c r="O45" s="67"/>
      <c r="P45" s="53"/>
      <c r="Q45" s="51"/>
      <c r="S45" s="52"/>
      <c r="T45" s="52"/>
    </row>
    <row r="46" spans="1:20" ht="15.75">
      <c r="A46" s="43">
        <v>48</v>
      </c>
      <c r="B46" s="44"/>
      <c r="C46" s="44"/>
      <c r="D46" s="45"/>
      <c r="E46" s="46"/>
      <c r="F46" s="47"/>
      <c r="G46" s="44"/>
      <c r="H46" s="48"/>
      <c r="I46" s="48"/>
      <c r="J46" s="48"/>
      <c r="K46" s="49"/>
      <c r="L46" s="49"/>
      <c r="M46" s="49"/>
      <c r="N46" s="68"/>
      <c r="O46" s="67"/>
      <c r="P46" s="53"/>
      <c r="Q46" s="51"/>
      <c r="S46" s="52"/>
      <c r="T46" s="52"/>
    </row>
    <row r="47" spans="1:20" ht="15.75">
      <c r="A47" s="43">
        <v>49</v>
      </c>
      <c r="B47" s="44"/>
      <c r="C47" s="44"/>
      <c r="D47" s="45"/>
      <c r="E47" s="46"/>
      <c r="F47" s="47"/>
      <c r="G47" s="44"/>
      <c r="H47" s="48"/>
      <c r="I47" s="48"/>
      <c r="J47" s="48"/>
      <c r="K47" s="49"/>
      <c r="L47" s="49"/>
      <c r="M47" s="49"/>
      <c r="N47" s="68"/>
      <c r="O47" s="67"/>
      <c r="P47" s="53"/>
      <c r="Q47" s="51"/>
      <c r="S47" s="52"/>
      <c r="T47" s="52"/>
    </row>
    <row r="48" spans="1:20" ht="15.75">
      <c r="A48" s="43">
        <v>50</v>
      </c>
      <c r="B48" s="44"/>
      <c r="C48" s="44"/>
      <c r="D48" s="45"/>
      <c r="E48" s="46"/>
      <c r="F48" s="47"/>
      <c r="G48" s="44"/>
      <c r="H48" s="48"/>
      <c r="I48" s="48"/>
      <c r="J48" s="48"/>
      <c r="K48" s="49"/>
      <c r="L48" s="49"/>
      <c r="M48" s="49"/>
      <c r="N48" s="68"/>
      <c r="O48" s="67"/>
      <c r="P48" s="53"/>
      <c r="Q48" s="51"/>
      <c r="S48" s="52"/>
      <c r="T48" s="52"/>
    </row>
    <row r="49" spans="1:20" ht="15.75">
      <c r="A49" s="43">
        <v>51</v>
      </c>
      <c r="B49" s="44"/>
      <c r="C49" s="44"/>
      <c r="D49" s="45"/>
      <c r="E49" s="46"/>
      <c r="F49" s="47"/>
      <c r="G49" s="44"/>
      <c r="H49" s="48"/>
      <c r="I49" s="48"/>
      <c r="J49" s="48"/>
      <c r="K49" s="49"/>
      <c r="L49" s="49"/>
      <c r="M49" s="49"/>
      <c r="N49" s="68"/>
      <c r="O49" s="67"/>
      <c r="P49" s="53"/>
      <c r="Q49" s="51"/>
      <c r="S49" s="52"/>
      <c r="T49" s="52"/>
    </row>
    <row r="50" spans="1:20" ht="15.75">
      <c r="A50" s="43">
        <v>52</v>
      </c>
      <c r="B50" s="44"/>
      <c r="C50" s="44"/>
      <c r="D50" s="45"/>
      <c r="E50" s="46"/>
      <c r="F50" s="47"/>
      <c r="G50" s="44"/>
      <c r="H50" s="48"/>
      <c r="I50" s="48"/>
      <c r="J50" s="48"/>
      <c r="K50" s="49"/>
      <c r="L50" s="49"/>
      <c r="M50" s="49"/>
      <c r="N50" s="68"/>
      <c r="O50" s="67"/>
      <c r="P50" s="53"/>
      <c r="Q50" s="51"/>
      <c r="S50" s="52"/>
      <c r="T50" s="52"/>
    </row>
    <row r="51" spans="1:20" ht="15.75">
      <c r="A51" s="43">
        <v>53</v>
      </c>
      <c r="B51" s="44"/>
      <c r="C51" s="44"/>
      <c r="D51" s="45"/>
      <c r="E51" s="46"/>
      <c r="F51" s="47"/>
      <c r="G51" s="44"/>
      <c r="H51" s="48"/>
      <c r="I51" s="48"/>
      <c r="J51" s="48"/>
      <c r="K51" s="49"/>
      <c r="L51" s="49"/>
      <c r="M51" s="49"/>
      <c r="N51" s="68"/>
      <c r="O51" s="67"/>
      <c r="P51" s="53"/>
      <c r="Q51" s="51"/>
      <c r="S51" s="52"/>
      <c r="T51" s="52"/>
    </row>
    <row r="52" spans="1:20" ht="15.75">
      <c r="A52" s="43">
        <v>54</v>
      </c>
      <c r="B52" s="44"/>
      <c r="C52" s="44"/>
      <c r="D52" s="45"/>
      <c r="E52" s="46"/>
      <c r="F52" s="47"/>
      <c r="G52" s="44"/>
      <c r="H52" s="48"/>
      <c r="I52" s="48"/>
      <c r="J52" s="48"/>
      <c r="K52" s="49"/>
      <c r="L52" s="49"/>
      <c r="M52" s="49"/>
      <c r="N52" s="68"/>
      <c r="O52" s="67"/>
      <c r="P52" s="53"/>
      <c r="Q52" s="51"/>
      <c r="S52" s="52"/>
      <c r="T52" s="52"/>
    </row>
    <row r="53" spans="1:20" ht="15.75">
      <c r="A53" s="43">
        <v>55</v>
      </c>
      <c r="B53" s="44"/>
      <c r="C53" s="44"/>
      <c r="D53" s="45"/>
      <c r="E53" s="46"/>
      <c r="F53" s="47"/>
      <c r="G53" s="44"/>
      <c r="H53" s="48"/>
      <c r="I53" s="48"/>
      <c r="J53" s="48"/>
      <c r="K53" s="49"/>
      <c r="L53" s="49"/>
      <c r="M53" s="49"/>
      <c r="N53" s="68"/>
      <c r="O53" s="67"/>
      <c r="P53" s="53"/>
      <c r="Q53" s="51"/>
      <c r="S53" s="52"/>
      <c r="T53" s="52"/>
    </row>
    <row r="54" spans="1:20" ht="15.75">
      <c r="A54" s="43">
        <v>56</v>
      </c>
      <c r="B54" s="44"/>
      <c r="C54" s="44"/>
      <c r="D54" s="45"/>
      <c r="E54" s="46"/>
      <c r="F54" s="47"/>
      <c r="G54" s="44"/>
      <c r="H54" s="48"/>
      <c r="I54" s="48"/>
      <c r="J54" s="48"/>
      <c r="K54" s="49"/>
      <c r="L54" s="49"/>
      <c r="M54" s="49"/>
      <c r="N54" s="68"/>
      <c r="O54" s="67"/>
      <c r="P54" s="53"/>
      <c r="Q54" s="51"/>
      <c r="S54" s="52"/>
      <c r="T54" s="52"/>
    </row>
    <row r="55" spans="1:20" ht="15.75">
      <c r="A55" s="43">
        <v>57</v>
      </c>
      <c r="B55" s="44"/>
      <c r="C55" s="44"/>
      <c r="D55" s="45"/>
      <c r="E55" s="46"/>
      <c r="F55" s="47"/>
      <c r="G55" s="44"/>
      <c r="H55" s="48"/>
      <c r="I55" s="48"/>
      <c r="J55" s="48"/>
      <c r="K55" s="49"/>
      <c r="L55" s="49"/>
      <c r="M55" s="49"/>
      <c r="N55" s="68"/>
      <c r="O55" s="67"/>
      <c r="P55" s="53"/>
      <c r="Q55" s="51"/>
      <c r="S55" s="52"/>
      <c r="T55" s="52"/>
    </row>
    <row r="56" spans="1:20" ht="15.75">
      <c r="A56" s="43">
        <v>58</v>
      </c>
      <c r="B56" s="44"/>
      <c r="C56" s="44"/>
      <c r="D56" s="45"/>
      <c r="E56" s="46"/>
      <c r="F56" s="47"/>
      <c r="G56" s="44"/>
      <c r="H56" s="48"/>
      <c r="I56" s="48"/>
      <c r="J56" s="48"/>
      <c r="K56" s="49"/>
      <c r="L56" s="49"/>
      <c r="M56" s="49"/>
      <c r="N56" s="68"/>
      <c r="O56" s="67"/>
      <c r="P56" s="53"/>
      <c r="Q56" s="51"/>
      <c r="S56" s="52"/>
      <c r="T56" s="52"/>
    </row>
    <row r="57" spans="1:20" ht="15.75">
      <c r="A57" s="43">
        <v>59</v>
      </c>
      <c r="B57" s="44"/>
      <c r="C57" s="44"/>
      <c r="D57" s="45"/>
      <c r="E57" s="46"/>
      <c r="F57" s="47"/>
      <c r="G57" s="44"/>
      <c r="H57" s="48"/>
      <c r="I57" s="48"/>
      <c r="J57" s="48"/>
      <c r="K57" s="49"/>
      <c r="L57" s="49"/>
      <c r="M57" s="49"/>
      <c r="N57" s="68"/>
      <c r="O57" s="67"/>
      <c r="P57" s="53"/>
      <c r="Q57" s="51"/>
      <c r="S57" s="52"/>
      <c r="T57" s="52"/>
    </row>
    <row r="58" spans="1:20" ht="15.75">
      <c r="A58" s="43">
        <v>60</v>
      </c>
      <c r="B58" s="44"/>
      <c r="C58" s="44"/>
      <c r="D58" s="45"/>
      <c r="E58" s="46"/>
      <c r="F58" s="47"/>
      <c r="G58" s="44"/>
      <c r="H58" s="48"/>
      <c r="I58" s="48"/>
      <c r="J58" s="48"/>
      <c r="K58" s="49"/>
      <c r="L58" s="49"/>
      <c r="M58" s="49"/>
      <c r="N58" s="68"/>
      <c r="O58" s="67"/>
      <c r="P58" s="53"/>
      <c r="Q58" s="51"/>
      <c r="S58" s="52"/>
      <c r="T58" s="52"/>
    </row>
    <row r="59" spans="1:20" ht="15.75">
      <c r="A59" s="43">
        <v>61</v>
      </c>
      <c r="B59" s="44"/>
      <c r="C59" s="44"/>
      <c r="D59" s="45"/>
      <c r="E59" s="46"/>
      <c r="F59" s="47"/>
      <c r="G59" s="44"/>
      <c r="H59" s="48"/>
      <c r="I59" s="48"/>
      <c r="J59" s="48"/>
      <c r="K59" s="49"/>
      <c r="L59" s="49"/>
      <c r="M59" s="49"/>
      <c r="N59" s="68"/>
      <c r="O59" s="67"/>
      <c r="P59" s="53"/>
      <c r="Q59" s="51"/>
      <c r="S59" s="52"/>
      <c r="T59" s="52"/>
    </row>
    <row r="60" spans="1:20" ht="15.75">
      <c r="A60" s="43">
        <v>62</v>
      </c>
      <c r="B60" s="44"/>
      <c r="C60" s="44"/>
      <c r="D60" s="45"/>
      <c r="E60" s="46"/>
      <c r="F60" s="47"/>
      <c r="G60" s="44"/>
      <c r="H60" s="48"/>
      <c r="I60" s="48"/>
      <c r="J60" s="48"/>
      <c r="K60" s="49"/>
      <c r="L60" s="49"/>
      <c r="M60" s="49"/>
      <c r="N60" s="68"/>
      <c r="O60" s="67"/>
      <c r="P60" s="53"/>
      <c r="Q60" s="51"/>
      <c r="S60" s="52"/>
      <c r="T60" s="52"/>
    </row>
    <row r="61" spans="1:20" ht="15.75">
      <c r="A61" s="43">
        <v>63</v>
      </c>
      <c r="B61" s="44"/>
      <c r="C61" s="44"/>
      <c r="D61" s="45"/>
      <c r="E61" s="46"/>
      <c r="F61" s="47"/>
      <c r="G61" s="44"/>
      <c r="H61" s="48"/>
      <c r="I61" s="48"/>
      <c r="J61" s="48"/>
      <c r="K61" s="49"/>
      <c r="L61" s="49"/>
      <c r="M61" s="49"/>
      <c r="N61" s="68"/>
      <c r="O61" s="67"/>
      <c r="P61" s="53"/>
      <c r="Q61" s="51"/>
      <c r="S61" s="52"/>
      <c r="T61" s="52"/>
    </row>
    <row r="62" spans="1:20" ht="15.75">
      <c r="A62" s="43">
        <v>64</v>
      </c>
      <c r="B62" s="44"/>
      <c r="C62" s="44"/>
      <c r="D62" s="45"/>
      <c r="E62" s="46"/>
      <c r="F62" s="47"/>
      <c r="G62" s="44"/>
      <c r="H62" s="48"/>
      <c r="I62" s="48"/>
      <c r="J62" s="48"/>
      <c r="K62" s="49"/>
      <c r="L62" s="49"/>
      <c r="M62" s="49"/>
      <c r="N62" s="68"/>
      <c r="O62" s="67"/>
      <c r="P62" s="53"/>
      <c r="Q62" s="51"/>
      <c r="S62" s="52"/>
      <c r="T62" s="52"/>
    </row>
    <row r="63" spans="1:20" ht="15.75">
      <c r="A63" s="43">
        <v>65</v>
      </c>
      <c r="B63" s="44"/>
      <c r="C63" s="44"/>
      <c r="D63" s="45"/>
      <c r="E63" s="46"/>
      <c r="F63" s="47"/>
      <c r="G63" s="44"/>
      <c r="H63" s="48"/>
      <c r="I63" s="48"/>
      <c r="J63" s="48"/>
      <c r="K63" s="49"/>
      <c r="L63" s="49"/>
      <c r="M63" s="49"/>
      <c r="N63" s="68"/>
      <c r="O63" s="67"/>
      <c r="P63" s="53"/>
      <c r="Q63" s="51"/>
      <c r="S63" s="52"/>
      <c r="T63" s="52"/>
    </row>
    <row r="64" spans="1:20" ht="15.75">
      <c r="A64" s="43">
        <v>66</v>
      </c>
      <c r="B64" s="44"/>
      <c r="C64" s="44"/>
      <c r="D64" s="45"/>
      <c r="E64" s="46"/>
      <c r="F64" s="47"/>
      <c r="G64" s="44"/>
      <c r="H64" s="48"/>
      <c r="I64" s="48"/>
      <c r="J64" s="48"/>
      <c r="K64" s="49"/>
      <c r="L64" s="49"/>
      <c r="M64" s="49"/>
      <c r="N64" s="68"/>
      <c r="O64" s="67"/>
      <c r="P64" s="53"/>
      <c r="Q64" s="51"/>
      <c r="S64" s="52"/>
      <c r="T64" s="52"/>
    </row>
    <row r="65" spans="1:20" ht="15.75">
      <c r="A65" s="43">
        <v>67</v>
      </c>
      <c r="B65" s="44"/>
      <c r="C65" s="44"/>
      <c r="D65" s="45"/>
      <c r="E65" s="46"/>
      <c r="F65" s="47"/>
      <c r="G65" s="44"/>
      <c r="H65" s="48"/>
      <c r="I65" s="48"/>
      <c r="J65" s="48"/>
      <c r="K65" s="49"/>
      <c r="L65" s="49"/>
      <c r="M65" s="49"/>
      <c r="N65" s="68"/>
      <c r="O65" s="67"/>
      <c r="P65" s="53"/>
      <c r="Q65" s="51"/>
      <c r="S65" s="52"/>
      <c r="T65" s="52"/>
    </row>
    <row r="66" spans="1:20" ht="15.75">
      <c r="A66" s="43">
        <v>68</v>
      </c>
      <c r="B66" s="44"/>
      <c r="C66" s="44"/>
      <c r="D66" s="45"/>
      <c r="E66" s="46"/>
      <c r="F66" s="47"/>
      <c r="G66" s="44"/>
      <c r="H66" s="48"/>
      <c r="I66" s="48"/>
      <c r="J66" s="48"/>
      <c r="K66" s="49"/>
      <c r="L66" s="49"/>
      <c r="M66" s="49"/>
      <c r="N66" s="68"/>
      <c r="O66" s="67"/>
      <c r="P66" s="53"/>
      <c r="Q66" s="51"/>
      <c r="S66" s="52"/>
      <c r="T66" s="52"/>
    </row>
    <row r="67" spans="1:20" ht="15.75">
      <c r="A67" s="43">
        <v>69</v>
      </c>
      <c r="B67" s="44"/>
      <c r="C67" s="44"/>
      <c r="D67" s="45"/>
      <c r="E67" s="46"/>
      <c r="F67" s="47"/>
      <c r="G67" s="44"/>
      <c r="H67" s="48"/>
      <c r="I67" s="48"/>
      <c r="J67" s="48"/>
      <c r="K67" s="49"/>
      <c r="L67" s="49"/>
      <c r="M67" s="49"/>
      <c r="N67" s="68"/>
      <c r="O67" s="67"/>
      <c r="P67" s="53"/>
      <c r="Q67" s="51"/>
      <c r="S67" s="52"/>
      <c r="T67" s="52"/>
    </row>
    <row r="68" spans="1:20" ht="15.75">
      <c r="A68" s="43">
        <v>70</v>
      </c>
      <c r="B68" s="44"/>
      <c r="C68" s="44"/>
      <c r="D68" s="45"/>
      <c r="E68" s="46"/>
      <c r="F68" s="47"/>
      <c r="G68" s="44"/>
      <c r="H68" s="48"/>
      <c r="I68" s="48"/>
      <c r="J68" s="48"/>
      <c r="K68" s="49"/>
      <c r="L68" s="49"/>
      <c r="M68" s="49"/>
      <c r="N68" s="68"/>
      <c r="O68" s="67"/>
      <c r="P68" s="53"/>
      <c r="Q68" s="51"/>
      <c r="S68" s="52"/>
      <c r="T68" s="52"/>
    </row>
    <row r="69" spans="1:20" ht="15.75">
      <c r="A69" s="43">
        <v>71</v>
      </c>
      <c r="B69" s="44"/>
      <c r="C69" s="44"/>
      <c r="D69" s="45"/>
      <c r="E69" s="46"/>
      <c r="F69" s="47"/>
      <c r="G69" s="44"/>
      <c r="H69" s="48"/>
      <c r="I69" s="48"/>
      <c r="J69" s="48"/>
      <c r="K69" s="49"/>
      <c r="L69" s="49"/>
      <c r="M69" s="49"/>
      <c r="N69" s="68"/>
      <c r="O69" s="67"/>
      <c r="P69" s="53"/>
      <c r="Q69" s="51"/>
      <c r="S69" s="52"/>
      <c r="T69" s="52"/>
    </row>
    <row r="70" spans="1:20" ht="15.75">
      <c r="A70" s="43">
        <v>72</v>
      </c>
      <c r="B70" s="44"/>
      <c r="C70" s="44"/>
      <c r="D70" s="45"/>
      <c r="E70" s="46"/>
      <c r="F70" s="47"/>
      <c r="G70" s="44"/>
      <c r="H70" s="48"/>
      <c r="I70" s="48"/>
      <c r="J70" s="48"/>
      <c r="K70" s="49"/>
      <c r="L70" s="49"/>
      <c r="M70" s="49"/>
      <c r="N70" s="68"/>
      <c r="O70" s="67"/>
      <c r="P70" s="53"/>
      <c r="Q70" s="51"/>
      <c r="S70" s="52"/>
      <c r="T70" s="52"/>
    </row>
    <row r="71" spans="1:20" ht="15.75">
      <c r="A71" s="43">
        <v>73</v>
      </c>
      <c r="B71" s="44"/>
      <c r="C71" s="44"/>
      <c r="D71" s="45"/>
      <c r="E71" s="46"/>
      <c r="F71" s="47"/>
      <c r="G71" s="44"/>
      <c r="H71" s="48"/>
      <c r="I71" s="48"/>
      <c r="J71" s="48"/>
      <c r="K71" s="49"/>
      <c r="L71" s="49"/>
      <c r="M71" s="49"/>
      <c r="N71" s="68"/>
      <c r="O71" s="67"/>
      <c r="P71" s="53"/>
      <c r="Q71" s="51"/>
      <c r="S71" s="52"/>
      <c r="T71" s="52"/>
    </row>
    <row r="72" spans="1:20" ht="15.75">
      <c r="A72" s="43">
        <v>74</v>
      </c>
      <c r="B72" s="44"/>
      <c r="C72" s="44"/>
      <c r="D72" s="45"/>
      <c r="E72" s="46"/>
      <c r="F72" s="47"/>
      <c r="G72" s="44"/>
      <c r="H72" s="48"/>
      <c r="I72" s="48"/>
      <c r="J72" s="48"/>
      <c r="K72" s="49"/>
      <c r="L72" s="49"/>
      <c r="M72" s="49"/>
      <c r="N72" s="68"/>
      <c r="O72" s="67"/>
      <c r="P72" s="53"/>
      <c r="Q72" s="51"/>
      <c r="S72" s="52"/>
      <c r="T72" s="52"/>
    </row>
    <row r="73" spans="1:20" ht="15.75">
      <c r="A73" s="43">
        <v>75</v>
      </c>
      <c r="B73" s="44"/>
      <c r="C73" s="44"/>
      <c r="D73" s="45"/>
      <c r="E73" s="46"/>
      <c r="F73" s="47"/>
      <c r="G73" s="44"/>
      <c r="H73" s="48"/>
      <c r="I73" s="48"/>
      <c r="J73" s="48"/>
      <c r="K73" s="49"/>
      <c r="L73" s="49"/>
      <c r="M73" s="49"/>
      <c r="N73" s="68"/>
      <c r="O73" s="67"/>
      <c r="P73" s="53"/>
      <c r="Q73" s="51"/>
      <c r="S73" s="52"/>
      <c r="T73" s="52"/>
    </row>
    <row r="74" spans="1:20" ht="15.75">
      <c r="A74" s="43">
        <v>76</v>
      </c>
      <c r="B74" s="44"/>
      <c r="C74" s="44"/>
      <c r="D74" s="45"/>
      <c r="E74" s="46"/>
      <c r="F74" s="47"/>
      <c r="G74" s="44"/>
      <c r="H74" s="48"/>
      <c r="I74" s="48"/>
      <c r="J74" s="48"/>
      <c r="K74" s="49"/>
      <c r="L74" s="49"/>
      <c r="M74" s="49"/>
      <c r="N74" s="68"/>
      <c r="O74" s="67"/>
      <c r="P74" s="53"/>
      <c r="Q74" s="51"/>
      <c r="S74" s="52"/>
      <c r="T74" s="52"/>
    </row>
    <row r="75" spans="1:20" ht="15.75">
      <c r="A75" s="43">
        <v>77</v>
      </c>
      <c r="B75" s="44"/>
      <c r="C75" s="44"/>
      <c r="D75" s="45"/>
      <c r="E75" s="46"/>
      <c r="F75" s="47"/>
      <c r="G75" s="44"/>
      <c r="H75" s="48"/>
      <c r="I75" s="48"/>
      <c r="J75" s="48"/>
      <c r="K75" s="49"/>
      <c r="L75" s="49"/>
      <c r="M75" s="49"/>
      <c r="N75" s="68"/>
      <c r="O75" s="67"/>
      <c r="P75" s="53"/>
      <c r="Q75" s="51"/>
      <c r="S75" s="52"/>
      <c r="T75" s="52"/>
    </row>
    <row r="76" spans="1:20" ht="15.75">
      <c r="A76" s="43">
        <v>78</v>
      </c>
      <c r="B76" s="44"/>
      <c r="C76" s="44"/>
      <c r="D76" s="45"/>
      <c r="E76" s="46"/>
      <c r="F76" s="47"/>
      <c r="G76" s="44"/>
      <c r="H76" s="48"/>
      <c r="I76" s="48"/>
      <c r="J76" s="48"/>
      <c r="K76" s="49"/>
      <c r="L76" s="49"/>
      <c r="M76" s="49"/>
      <c r="N76" s="68"/>
      <c r="O76" s="67"/>
      <c r="P76" s="53"/>
      <c r="Q76" s="51"/>
      <c r="S76" s="52"/>
      <c r="T76" s="52"/>
    </row>
    <row r="77" spans="1:20" ht="15.75">
      <c r="A77" s="43">
        <v>79</v>
      </c>
      <c r="B77" s="44"/>
      <c r="C77" s="44"/>
      <c r="D77" s="45"/>
      <c r="E77" s="46"/>
      <c r="F77" s="47"/>
      <c r="G77" s="44"/>
      <c r="H77" s="48"/>
      <c r="I77" s="48"/>
      <c r="J77" s="48"/>
      <c r="K77" s="49"/>
      <c r="L77" s="49"/>
      <c r="M77" s="49"/>
      <c r="N77" s="68"/>
      <c r="O77" s="67"/>
      <c r="P77" s="53"/>
      <c r="Q77" s="51"/>
      <c r="S77" s="52"/>
      <c r="T77" s="52"/>
    </row>
    <row r="78" spans="1:20" ht="15.75">
      <c r="A78" s="43">
        <v>80</v>
      </c>
      <c r="B78" s="44"/>
      <c r="C78" s="44"/>
      <c r="D78" s="45"/>
      <c r="E78" s="46"/>
      <c r="F78" s="47"/>
      <c r="G78" s="44"/>
      <c r="H78" s="48"/>
      <c r="I78" s="48"/>
      <c r="J78" s="48"/>
      <c r="K78" s="49"/>
      <c r="L78" s="49"/>
      <c r="M78" s="49"/>
      <c r="N78" s="68"/>
      <c r="O78" s="67"/>
      <c r="P78" s="53"/>
      <c r="Q78" s="51"/>
      <c r="S78" s="52"/>
      <c r="T78" s="52"/>
    </row>
    <row r="79" spans="1:20" ht="15.75">
      <c r="A79" s="43">
        <v>81</v>
      </c>
      <c r="B79" s="44"/>
      <c r="C79" s="44"/>
      <c r="D79" s="45"/>
      <c r="E79" s="46"/>
      <c r="F79" s="47"/>
      <c r="G79" s="44"/>
      <c r="H79" s="48"/>
      <c r="I79" s="48"/>
      <c r="J79" s="48"/>
      <c r="K79" s="49"/>
      <c r="L79" s="49"/>
      <c r="M79" s="49"/>
      <c r="N79" s="68"/>
      <c r="O79" s="67"/>
      <c r="P79" s="53"/>
      <c r="Q79" s="51"/>
      <c r="S79" s="52"/>
      <c r="T79" s="52"/>
    </row>
    <row r="80" spans="1:20" ht="15.75">
      <c r="A80" s="43">
        <v>82</v>
      </c>
      <c r="B80" s="44"/>
      <c r="C80" s="44"/>
      <c r="D80" s="45"/>
      <c r="E80" s="46"/>
      <c r="F80" s="47"/>
      <c r="G80" s="44"/>
      <c r="H80" s="48"/>
      <c r="I80" s="48"/>
      <c r="J80" s="48"/>
      <c r="K80" s="49"/>
      <c r="L80" s="49"/>
      <c r="M80" s="49"/>
      <c r="N80" s="68"/>
      <c r="O80" s="67"/>
      <c r="P80" s="53"/>
      <c r="Q80" s="51"/>
      <c r="S80" s="52"/>
      <c r="T80" s="52"/>
    </row>
    <row r="81" spans="1:20" ht="15.75">
      <c r="A81" s="43">
        <v>83</v>
      </c>
      <c r="B81" s="44"/>
      <c r="C81" s="44"/>
      <c r="D81" s="45"/>
      <c r="E81" s="46"/>
      <c r="F81" s="47"/>
      <c r="G81" s="44"/>
      <c r="H81" s="48"/>
      <c r="I81" s="48"/>
      <c r="J81" s="48"/>
      <c r="K81" s="49"/>
      <c r="L81" s="49"/>
      <c r="M81" s="49"/>
      <c r="N81" s="68"/>
      <c r="O81" s="67"/>
      <c r="P81" s="53"/>
      <c r="Q81" s="51"/>
      <c r="S81" s="52"/>
      <c r="T81" s="52"/>
    </row>
    <row r="82" spans="1:20" ht="15.75">
      <c r="A82" s="43">
        <v>84</v>
      </c>
      <c r="B82" s="44"/>
      <c r="C82" s="44"/>
      <c r="D82" s="45"/>
      <c r="E82" s="46"/>
      <c r="F82" s="47"/>
      <c r="G82" s="44"/>
      <c r="H82" s="48"/>
      <c r="I82" s="48"/>
      <c r="J82" s="48"/>
      <c r="K82" s="49"/>
      <c r="L82" s="49"/>
      <c r="M82" s="49"/>
      <c r="N82" s="68"/>
      <c r="O82" s="67"/>
      <c r="P82" s="53"/>
      <c r="Q82" s="51"/>
      <c r="S82" s="52"/>
      <c r="T82" s="52"/>
    </row>
    <row r="83" spans="1:20" ht="15.75">
      <c r="A83" s="43">
        <v>85</v>
      </c>
      <c r="B83" s="44"/>
      <c r="C83" s="44"/>
      <c r="D83" s="45"/>
      <c r="E83" s="46"/>
      <c r="F83" s="47"/>
      <c r="G83" s="44"/>
      <c r="H83" s="48"/>
      <c r="I83" s="48"/>
      <c r="J83" s="48"/>
      <c r="K83" s="49"/>
      <c r="L83" s="49"/>
      <c r="M83" s="49"/>
      <c r="N83" s="68"/>
      <c r="O83" s="67"/>
      <c r="P83" s="53"/>
      <c r="Q83" s="51"/>
      <c r="S83" s="52"/>
      <c r="T83" s="52"/>
    </row>
    <row r="84" spans="1:20" ht="15.75">
      <c r="A84" s="43">
        <v>86</v>
      </c>
      <c r="B84" s="44"/>
      <c r="C84" s="44"/>
      <c r="D84" s="45"/>
      <c r="E84" s="46"/>
      <c r="F84" s="47"/>
      <c r="G84" s="44"/>
      <c r="H84" s="48"/>
      <c r="I84" s="48"/>
      <c r="J84" s="48"/>
      <c r="K84" s="49"/>
      <c r="L84" s="49"/>
      <c r="M84" s="49"/>
      <c r="N84" s="68"/>
      <c r="O84" s="67"/>
      <c r="P84" s="53"/>
      <c r="Q84" s="51"/>
      <c r="S84" s="52"/>
      <c r="T84" s="52"/>
    </row>
    <row r="85" spans="1:20" ht="15.75">
      <c r="A85" s="43">
        <v>87</v>
      </c>
      <c r="B85" s="44"/>
      <c r="C85" s="44"/>
      <c r="D85" s="45"/>
      <c r="E85" s="46"/>
      <c r="F85" s="47"/>
      <c r="G85" s="44"/>
      <c r="H85" s="48"/>
      <c r="I85" s="48"/>
      <c r="J85" s="48"/>
      <c r="K85" s="49"/>
      <c r="L85" s="49"/>
      <c r="M85" s="49"/>
      <c r="N85" s="68"/>
      <c r="O85" s="67"/>
      <c r="P85" s="53"/>
      <c r="Q85" s="51"/>
      <c r="S85" s="52"/>
      <c r="T85" s="52"/>
    </row>
    <row r="86" spans="1:20" ht="15.75">
      <c r="A86" s="43">
        <v>88</v>
      </c>
      <c r="B86" s="44"/>
      <c r="C86" s="44"/>
      <c r="D86" s="45"/>
      <c r="E86" s="46"/>
      <c r="F86" s="47"/>
      <c r="G86" s="44"/>
      <c r="H86" s="48"/>
      <c r="I86" s="48"/>
      <c r="J86" s="48"/>
      <c r="K86" s="49"/>
      <c r="L86" s="49"/>
      <c r="M86" s="49"/>
      <c r="N86" s="68"/>
      <c r="O86" s="67"/>
      <c r="P86" s="53"/>
      <c r="Q86" s="51"/>
      <c r="S86" s="52"/>
      <c r="T86" s="52"/>
    </row>
    <row r="87" spans="1:20" ht="15.75">
      <c r="A87" s="43">
        <v>89</v>
      </c>
      <c r="B87" s="44"/>
      <c r="C87" s="44"/>
      <c r="D87" s="45"/>
      <c r="E87" s="46"/>
      <c r="F87" s="47"/>
      <c r="G87" s="44"/>
      <c r="H87" s="48"/>
      <c r="I87" s="48"/>
      <c r="J87" s="48"/>
      <c r="K87" s="49"/>
      <c r="L87" s="49"/>
      <c r="M87" s="49"/>
      <c r="N87" s="68"/>
      <c r="O87" s="67"/>
      <c r="P87" s="53"/>
      <c r="Q87" s="51"/>
      <c r="S87" s="52"/>
      <c r="T87" s="52"/>
    </row>
    <row r="88" spans="1:20" ht="15.75">
      <c r="A88" s="43">
        <v>90</v>
      </c>
      <c r="B88" s="44"/>
      <c r="C88" s="44"/>
      <c r="D88" s="45"/>
      <c r="E88" s="46"/>
      <c r="F88" s="47"/>
      <c r="G88" s="44"/>
      <c r="H88" s="48"/>
      <c r="I88" s="48"/>
      <c r="J88" s="48"/>
      <c r="K88" s="49"/>
      <c r="L88" s="49"/>
      <c r="M88" s="49"/>
      <c r="N88" s="68"/>
      <c r="O88" s="67"/>
      <c r="P88" s="53"/>
      <c r="Q88" s="51"/>
      <c r="S88" s="52"/>
      <c r="T88" s="52"/>
    </row>
    <row r="89" spans="1:20" ht="15.75">
      <c r="A89" s="43">
        <v>91</v>
      </c>
      <c r="B89" s="44"/>
      <c r="C89" s="44"/>
      <c r="D89" s="45"/>
      <c r="E89" s="46"/>
      <c r="F89" s="47"/>
      <c r="G89" s="44"/>
      <c r="H89" s="48"/>
      <c r="I89" s="48"/>
      <c r="J89" s="48"/>
      <c r="K89" s="49"/>
      <c r="L89" s="49"/>
      <c r="M89" s="49"/>
      <c r="N89" s="68"/>
      <c r="O89" s="67"/>
      <c r="P89" s="53"/>
      <c r="Q89" s="51"/>
      <c r="S89" s="52"/>
      <c r="T89" s="52"/>
    </row>
    <row r="90" spans="1:20" ht="15.75">
      <c r="A90" s="43">
        <v>92</v>
      </c>
      <c r="B90" s="44"/>
      <c r="C90" s="44"/>
      <c r="D90" s="45"/>
      <c r="E90" s="46"/>
      <c r="F90" s="47"/>
      <c r="G90" s="44"/>
      <c r="H90" s="48"/>
      <c r="I90" s="48"/>
      <c r="J90" s="48"/>
      <c r="K90" s="49"/>
      <c r="L90" s="49"/>
      <c r="M90" s="49"/>
      <c r="N90" s="68"/>
      <c r="O90" s="67"/>
      <c r="P90" s="53"/>
      <c r="Q90" s="51"/>
      <c r="S90" s="52"/>
      <c r="T90" s="52"/>
    </row>
    <row r="91" spans="1:20" ht="15.75">
      <c r="A91" s="43">
        <v>93</v>
      </c>
      <c r="B91" s="44"/>
      <c r="C91" s="44"/>
      <c r="D91" s="45"/>
      <c r="E91" s="46"/>
      <c r="F91" s="47"/>
      <c r="G91" s="44"/>
      <c r="H91" s="48"/>
      <c r="I91" s="48"/>
      <c r="J91" s="48"/>
      <c r="K91" s="49"/>
      <c r="L91" s="49"/>
      <c r="M91" s="49"/>
      <c r="N91" s="68"/>
      <c r="O91" s="67"/>
      <c r="P91" s="53"/>
      <c r="Q91" s="51"/>
      <c r="S91" s="52"/>
      <c r="T91" s="52"/>
    </row>
    <row r="92" spans="1:20" ht="15.75">
      <c r="A92" s="43">
        <v>94</v>
      </c>
      <c r="B92" s="44"/>
      <c r="C92" s="44"/>
      <c r="D92" s="45"/>
      <c r="E92" s="46"/>
      <c r="F92" s="47"/>
      <c r="G92" s="44"/>
      <c r="H92" s="48"/>
      <c r="I92" s="48"/>
      <c r="J92" s="48"/>
      <c r="K92" s="49"/>
      <c r="L92" s="49"/>
      <c r="M92" s="49"/>
      <c r="N92" s="68"/>
      <c r="O92" s="67"/>
      <c r="P92" s="53"/>
      <c r="Q92" s="51"/>
      <c r="S92" s="52"/>
      <c r="T92" s="52"/>
    </row>
    <row r="93" spans="1:20" ht="15.75">
      <c r="A93" s="43">
        <v>95</v>
      </c>
      <c r="B93" s="44"/>
      <c r="C93" s="44"/>
      <c r="D93" s="45"/>
      <c r="E93" s="46"/>
      <c r="F93" s="47"/>
      <c r="G93" s="44"/>
      <c r="H93" s="48"/>
      <c r="I93" s="48"/>
      <c r="J93" s="48"/>
      <c r="K93" s="49"/>
      <c r="L93" s="49"/>
      <c r="M93" s="49"/>
      <c r="N93" s="68"/>
      <c r="O93" s="67"/>
      <c r="P93" s="53"/>
      <c r="Q93" s="51"/>
      <c r="S93" s="52"/>
      <c r="T93" s="52"/>
    </row>
    <row r="94" spans="1:20" ht="15.75">
      <c r="A94" s="43">
        <v>96</v>
      </c>
      <c r="B94" s="44"/>
      <c r="C94" s="44"/>
      <c r="D94" s="45"/>
      <c r="E94" s="46"/>
      <c r="F94" s="47"/>
      <c r="G94" s="44"/>
      <c r="H94" s="48"/>
      <c r="I94" s="48"/>
      <c r="J94" s="48"/>
      <c r="K94" s="49"/>
      <c r="L94" s="49"/>
      <c r="M94" s="49"/>
      <c r="N94" s="68"/>
      <c r="O94" s="67"/>
      <c r="P94" s="53"/>
      <c r="Q94" s="51"/>
      <c r="S94" s="52"/>
      <c r="T94" s="52"/>
    </row>
    <row r="95" spans="1:20" ht="15.75">
      <c r="A95" s="43">
        <v>97</v>
      </c>
      <c r="B95" s="44"/>
      <c r="C95" s="44"/>
      <c r="D95" s="45"/>
      <c r="E95" s="46"/>
      <c r="F95" s="47"/>
      <c r="G95" s="44"/>
      <c r="H95" s="48"/>
      <c r="I95" s="48"/>
      <c r="J95" s="48"/>
      <c r="K95" s="49"/>
      <c r="L95" s="49"/>
      <c r="M95" s="49"/>
      <c r="N95" s="68"/>
      <c r="O95" s="67"/>
      <c r="P95" s="53"/>
      <c r="Q95" s="51"/>
      <c r="S95" s="52"/>
      <c r="T95" s="52"/>
    </row>
    <row r="96" spans="1:20" ht="15.75">
      <c r="A96" s="43">
        <v>98</v>
      </c>
      <c r="B96" s="44"/>
      <c r="C96" s="44"/>
      <c r="D96" s="45"/>
      <c r="E96" s="46"/>
      <c r="F96" s="47"/>
      <c r="G96" s="44"/>
      <c r="H96" s="48"/>
      <c r="I96" s="48"/>
      <c r="J96" s="48"/>
      <c r="K96" s="49"/>
      <c r="L96" s="49"/>
      <c r="M96" s="49"/>
      <c r="N96" s="68"/>
      <c r="O96" s="67"/>
      <c r="P96" s="53"/>
      <c r="Q96" s="51"/>
      <c r="S96" s="52"/>
      <c r="T96" s="52"/>
    </row>
    <row r="97" spans="1:20" ht="15.75">
      <c r="A97" s="43">
        <v>99</v>
      </c>
      <c r="B97" s="44"/>
      <c r="C97" s="44"/>
      <c r="D97" s="45"/>
      <c r="E97" s="46"/>
      <c r="F97" s="47"/>
      <c r="G97" s="44"/>
      <c r="H97" s="48"/>
      <c r="I97" s="48"/>
      <c r="J97" s="48"/>
      <c r="K97" s="49"/>
      <c r="L97" s="49"/>
      <c r="M97" s="49"/>
      <c r="N97" s="68"/>
      <c r="O97" s="67"/>
      <c r="P97" s="53"/>
      <c r="Q97" s="51"/>
      <c r="S97" s="52"/>
      <c r="T97" s="52"/>
    </row>
    <row r="98" spans="1:20" ht="15.75">
      <c r="A98" s="43">
        <v>100</v>
      </c>
      <c r="B98" s="44"/>
      <c r="C98" s="44"/>
      <c r="D98" s="45"/>
      <c r="E98" s="46"/>
      <c r="F98" s="47"/>
      <c r="G98" s="44"/>
      <c r="H98" s="48"/>
      <c r="I98" s="48"/>
      <c r="J98" s="48"/>
      <c r="K98" s="49"/>
      <c r="L98" s="49"/>
      <c r="M98" s="49"/>
      <c r="N98" s="68"/>
      <c r="O98" s="67"/>
      <c r="P98" s="53"/>
      <c r="Q98" s="51"/>
      <c r="S98" s="52"/>
      <c r="T98" s="52"/>
    </row>
    <row r="99" spans="1:20" ht="15.75">
      <c r="A99" s="43">
        <v>101</v>
      </c>
      <c r="B99" s="44"/>
      <c r="C99" s="44"/>
      <c r="D99" s="45"/>
      <c r="E99" s="46"/>
      <c r="F99" s="47"/>
      <c r="G99" s="44"/>
      <c r="H99" s="48"/>
      <c r="I99" s="48"/>
      <c r="J99" s="48"/>
      <c r="K99" s="49"/>
      <c r="L99" s="49"/>
      <c r="M99" s="49"/>
      <c r="N99" s="68"/>
      <c r="O99" s="67"/>
      <c r="P99" s="53"/>
      <c r="Q99" s="51"/>
      <c r="S99" s="52"/>
      <c r="T99" s="52"/>
    </row>
    <row r="100" spans="1:20" ht="15.75">
      <c r="A100" s="43">
        <v>102</v>
      </c>
      <c r="B100" s="44"/>
      <c r="C100" s="44"/>
      <c r="D100" s="45"/>
      <c r="E100" s="46"/>
      <c r="F100" s="47"/>
      <c r="G100" s="44"/>
      <c r="H100" s="48"/>
      <c r="I100" s="48"/>
      <c r="J100" s="48"/>
      <c r="K100" s="49"/>
      <c r="L100" s="49"/>
      <c r="M100" s="49"/>
      <c r="N100" s="68"/>
      <c r="O100" s="67"/>
      <c r="P100" s="53"/>
      <c r="Q100" s="51"/>
      <c r="S100" s="52"/>
      <c r="T100" s="52"/>
    </row>
    <row r="101" spans="1:20" ht="15.75">
      <c r="A101" s="43">
        <v>103</v>
      </c>
      <c r="B101" s="44"/>
      <c r="C101" s="44"/>
      <c r="D101" s="45"/>
      <c r="E101" s="46"/>
      <c r="F101" s="47"/>
      <c r="G101" s="44"/>
      <c r="H101" s="48"/>
      <c r="I101" s="48"/>
      <c r="J101" s="48"/>
      <c r="K101" s="49"/>
      <c r="L101" s="49"/>
      <c r="M101" s="49"/>
      <c r="N101" s="68"/>
      <c r="O101" s="67"/>
      <c r="P101" s="53"/>
      <c r="Q101" s="51"/>
      <c r="S101" s="52"/>
      <c r="T101" s="52"/>
    </row>
    <row r="102" spans="1:20" ht="15.75">
      <c r="A102" s="43">
        <v>104</v>
      </c>
      <c r="B102" s="44"/>
      <c r="C102" s="44"/>
      <c r="D102" s="45"/>
      <c r="E102" s="46"/>
      <c r="F102" s="47"/>
      <c r="G102" s="44"/>
      <c r="H102" s="48"/>
      <c r="I102" s="48"/>
      <c r="J102" s="48"/>
      <c r="K102" s="49"/>
      <c r="L102" s="49"/>
      <c r="M102" s="49"/>
      <c r="N102" s="68"/>
      <c r="O102" s="67"/>
      <c r="P102" s="53"/>
      <c r="Q102" s="51"/>
      <c r="S102" s="52"/>
      <c r="T102" s="52"/>
    </row>
    <row r="103" spans="1:20" ht="15.75">
      <c r="A103" s="43">
        <v>105</v>
      </c>
      <c r="B103" s="44"/>
      <c r="C103" s="44"/>
      <c r="D103" s="45"/>
      <c r="E103" s="46"/>
      <c r="F103" s="47"/>
      <c r="G103" s="44"/>
      <c r="H103" s="48"/>
      <c r="I103" s="48"/>
      <c r="J103" s="48"/>
      <c r="K103" s="49"/>
      <c r="L103" s="49"/>
      <c r="M103" s="49"/>
      <c r="N103" s="68"/>
      <c r="O103" s="67"/>
      <c r="P103" s="53"/>
      <c r="Q103" s="51"/>
      <c r="S103" s="52"/>
      <c r="T103" s="52"/>
    </row>
    <row r="104" spans="1:20" ht="15.75">
      <c r="A104" s="43">
        <v>106</v>
      </c>
      <c r="B104" s="44"/>
      <c r="C104" s="44"/>
      <c r="D104" s="45"/>
      <c r="E104" s="46"/>
      <c r="F104" s="47"/>
      <c r="G104" s="44"/>
      <c r="H104" s="48"/>
      <c r="I104" s="48"/>
      <c r="J104" s="48"/>
      <c r="K104" s="49"/>
      <c r="L104" s="49"/>
      <c r="M104" s="49"/>
      <c r="N104" s="68"/>
      <c r="O104" s="67"/>
      <c r="P104" s="53"/>
      <c r="Q104" s="51"/>
      <c r="S104" s="52"/>
      <c r="T104" s="52"/>
    </row>
    <row r="105" spans="1:20" ht="15.75">
      <c r="A105" s="43">
        <v>107</v>
      </c>
      <c r="B105" s="44"/>
      <c r="C105" s="44"/>
      <c r="D105" s="45"/>
      <c r="E105" s="46"/>
      <c r="F105" s="47"/>
      <c r="G105" s="44"/>
      <c r="H105" s="48"/>
      <c r="I105" s="48"/>
      <c r="J105" s="48"/>
      <c r="K105" s="49"/>
      <c r="L105" s="49"/>
      <c r="M105" s="49"/>
      <c r="N105" s="68"/>
      <c r="O105" s="67"/>
      <c r="P105" s="53"/>
      <c r="Q105" s="51"/>
      <c r="S105" s="52"/>
      <c r="T105" s="52"/>
    </row>
    <row r="106" spans="1:20" ht="15.75">
      <c r="A106" s="43">
        <v>108</v>
      </c>
      <c r="B106" s="44"/>
      <c r="C106" s="44"/>
      <c r="D106" s="45"/>
      <c r="E106" s="46"/>
      <c r="F106" s="47"/>
      <c r="G106" s="44"/>
      <c r="H106" s="48"/>
      <c r="I106" s="48"/>
      <c r="J106" s="48"/>
      <c r="K106" s="49"/>
      <c r="L106" s="49"/>
      <c r="M106" s="49"/>
      <c r="N106" s="68"/>
      <c r="O106" s="67"/>
      <c r="P106" s="53"/>
      <c r="Q106" s="51"/>
      <c r="S106" s="52"/>
      <c r="T106" s="52"/>
    </row>
    <row r="107" spans="1:20" ht="15.75">
      <c r="A107" s="43">
        <v>109</v>
      </c>
      <c r="B107" s="44"/>
      <c r="C107" s="44"/>
      <c r="D107" s="45"/>
      <c r="E107" s="46"/>
      <c r="F107" s="47"/>
      <c r="G107" s="44"/>
      <c r="H107" s="48"/>
      <c r="I107" s="48"/>
      <c r="J107" s="48"/>
      <c r="K107" s="49"/>
      <c r="L107" s="49"/>
      <c r="M107" s="49"/>
      <c r="N107" s="68"/>
      <c r="O107" s="67"/>
      <c r="P107" s="53"/>
      <c r="Q107" s="51"/>
      <c r="S107" s="52"/>
      <c r="T107" s="52"/>
    </row>
    <row r="108" spans="1:20" ht="15.75">
      <c r="A108" s="43">
        <v>110</v>
      </c>
      <c r="B108" s="44"/>
      <c r="C108" s="44"/>
      <c r="D108" s="45"/>
      <c r="E108" s="46"/>
      <c r="F108" s="47"/>
      <c r="G108" s="44"/>
      <c r="H108" s="48"/>
      <c r="I108" s="48"/>
      <c r="J108" s="48"/>
      <c r="K108" s="49"/>
      <c r="L108" s="49"/>
      <c r="M108" s="49"/>
      <c r="N108" s="68"/>
      <c r="O108" s="67"/>
      <c r="P108" s="53"/>
      <c r="Q108" s="51"/>
      <c r="S108" s="52"/>
      <c r="T108" s="52"/>
    </row>
    <row r="109" spans="1:20" ht="15.75">
      <c r="A109" s="43">
        <v>111</v>
      </c>
      <c r="B109" s="44"/>
      <c r="C109" s="44"/>
      <c r="D109" s="45"/>
      <c r="E109" s="46"/>
      <c r="F109" s="47"/>
      <c r="G109" s="44"/>
      <c r="H109" s="48"/>
      <c r="I109" s="48"/>
      <c r="J109" s="48"/>
      <c r="K109" s="49"/>
      <c r="L109" s="49"/>
      <c r="M109" s="49"/>
      <c r="N109" s="68"/>
      <c r="O109" s="67"/>
      <c r="P109" s="53"/>
      <c r="Q109" s="51"/>
      <c r="S109" s="52"/>
      <c r="T109" s="52"/>
    </row>
    <row r="110" spans="1:20" ht="15.75">
      <c r="A110" s="43">
        <v>112</v>
      </c>
      <c r="B110" s="44"/>
      <c r="C110" s="44"/>
      <c r="D110" s="45"/>
      <c r="E110" s="46"/>
      <c r="F110" s="47"/>
      <c r="G110" s="44"/>
      <c r="H110" s="48"/>
      <c r="I110" s="48"/>
      <c r="J110" s="48"/>
      <c r="K110" s="49"/>
      <c r="L110" s="49"/>
      <c r="M110" s="49"/>
      <c r="N110" s="68"/>
      <c r="O110" s="67"/>
      <c r="P110" s="53"/>
      <c r="Q110" s="51"/>
      <c r="S110" s="52"/>
      <c r="T110" s="52"/>
    </row>
    <row r="111" spans="1:20" ht="15.75">
      <c r="A111" s="43">
        <v>113</v>
      </c>
      <c r="B111" s="44"/>
      <c r="C111" s="44"/>
      <c r="D111" s="45"/>
      <c r="E111" s="46"/>
      <c r="F111" s="47"/>
      <c r="G111" s="44"/>
      <c r="H111" s="48"/>
      <c r="I111" s="48"/>
      <c r="J111" s="48"/>
      <c r="K111" s="49"/>
      <c r="L111" s="49"/>
      <c r="M111" s="49"/>
      <c r="N111" s="68"/>
      <c r="O111" s="67"/>
      <c r="P111" s="53"/>
      <c r="Q111" s="51"/>
      <c r="S111" s="52"/>
      <c r="T111" s="52"/>
    </row>
    <row r="112" spans="1:20" ht="15.75">
      <c r="A112" s="43">
        <v>114</v>
      </c>
      <c r="B112" s="44"/>
      <c r="C112" s="44"/>
      <c r="D112" s="45"/>
      <c r="E112" s="46"/>
      <c r="F112" s="47"/>
      <c r="G112" s="44"/>
      <c r="H112" s="48"/>
      <c r="I112" s="48"/>
      <c r="J112" s="48"/>
      <c r="K112" s="49"/>
      <c r="L112" s="49"/>
      <c r="M112" s="49"/>
      <c r="N112" s="68"/>
      <c r="O112" s="67"/>
      <c r="P112" s="53"/>
      <c r="Q112" s="51"/>
      <c r="S112" s="52"/>
      <c r="T112" s="52"/>
    </row>
    <row r="113" spans="1:20" ht="15.75">
      <c r="A113" s="43">
        <v>115</v>
      </c>
      <c r="B113" s="44"/>
      <c r="C113" s="44"/>
      <c r="D113" s="45"/>
      <c r="E113" s="46"/>
      <c r="F113" s="47"/>
      <c r="G113" s="44"/>
      <c r="H113" s="48"/>
      <c r="I113" s="48"/>
      <c r="J113" s="48"/>
      <c r="K113" s="49"/>
      <c r="L113" s="49"/>
      <c r="M113" s="49"/>
      <c r="N113" s="68"/>
      <c r="O113" s="67"/>
      <c r="P113" s="53"/>
      <c r="Q113" s="51"/>
      <c r="S113" s="52"/>
      <c r="T113" s="52"/>
    </row>
    <row r="114" spans="1:20" ht="15.75">
      <c r="A114" s="43">
        <v>116</v>
      </c>
      <c r="B114" s="44"/>
      <c r="C114" s="44"/>
      <c r="D114" s="45"/>
      <c r="E114" s="46"/>
      <c r="F114" s="47"/>
      <c r="G114" s="44"/>
      <c r="H114" s="48"/>
      <c r="I114" s="48"/>
      <c r="J114" s="48"/>
      <c r="K114" s="49"/>
      <c r="L114" s="49"/>
      <c r="M114" s="49"/>
      <c r="N114" s="68"/>
      <c r="O114" s="67"/>
      <c r="P114" s="53"/>
      <c r="Q114" s="51"/>
      <c r="S114" s="52"/>
      <c r="T114" s="52"/>
    </row>
    <row r="115" spans="1:20" ht="15.75">
      <c r="A115" s="43">
        <v>117</v>
      </c>
      <c r="B115" s="44"/>
      <c r="C115" s="44"/>
      <c r="D115" s="45"/>
      <c r="E115" s="46"/>
      <c r="F115" s="47"/>
      <c r="G115" s="44"/>
      <c r="H115" s="48"/>
      <c r="I115" s="48"/>
      <c r="J115" s="48"/>
      <c r="K115" s="49"/>
      <c r="L115" s="49"/>
      <c r="M115" s="49"/>
      <c r="N115" s="68"/>
      <c r="O115" s="67"/>
      <c r="P115" s="53"/>
      <c r="Q115" s="51"/>
      <c r="S115" s="52"/>
      <c r="T115" s="52"/>
    </row>
    <row r="116" spans="1:20" ht="15.75">
      <c r="A116" s="43">
        <v>118</v>
      </c>
      <c r="B116" s="44"/>
      <c r="C116" s="44"/>
      <c r="D116" s="45"/>
      <c r="E116" s="46"/>
      <c r="F116" s="47"/>
      <c r="G116" s="44"/>
      <c r="H116" s="48"/>
      <c r="I116" s="48"/>
      <c r="J116" s="48"/>
      <c r="K116" s="49"/>
      <c r="L116" s="49"/>
      <c r="M116" s="49"/>
      <c r="N116" s="68"/>
      <c r="O116" s="67"/>
      <c r="P116" s="53"/>
      <c r="Q116" s="51"/>
      <c r="S116" s="52"/>
      <c r="T116" s="52"/>
    </row>
    <row r="117" spans="1:20" ht="15.75">
      <c r="A117" s="43">
        <v>119</v>
      </c>
      <c r="B117" s="44"/>
      <c r="C117" s="44"/>
      <c r="D117" s="45"/>
      <c r="E117" s="46"/>
      <c r="F117" s="47"/>
      <c r="G117" s="44"/>
      <c r="H117" s="48"/>
      <c r="I117" s="48"/>
      <c r="J117" s="48"/>
      <c r="K117" s="49"/>
      <c r="L117" s="49"/>
      <c r="M117" s="49"/>
      <c r="N117" s="68"/>
      <c r="O117" s="67"/>
      <c r="P117" s="53"/>
      <c r="Q117" s="51"/>
      <c r="S117" s="52"/>
      <c r="T117" s="52"/>
    </row>
    <row r="118" spans="1:20" ht="15.75">
      <c r="A118" s="43">
        <v>120</v>
      </c>
      <c r="B118" s="44"/>
      <c r="C118" s="44"/>
      <c r="D118" s="45"/>
      <c r="E118" s="46"/>
      <c r="F118" s="47"/>
      <c r="G118" s="44"/>
      <c r="H118" s="48"/>
      <c r="I118" s="48"/>
      <c r="J118" s="48"/>
      <c r="K118" s="49"/>
      <c r="L118" s="49"/>
      <c r="M118" s="49"/>
      <c r="N118" s="68"/>
      <c r="O118" s="67"/>
      <c r="P118" s="53"/>
      <c r="Q118" s="51"/>
      <c r="S118" s="52"/>
      <c r="T118" s="52"/>
    </row>
    <row r="119" spans="1:20" ht="15.75">
      <c r="A119" s="43">
        <v>121</v>
      </c>
      <c r="B119" s="44"/>
      <c r="C119" s="44"/>
      <c r="D119" s="45"/>
      <c r="E119" s="46"/>
      <c r="F119" s="47"/>
      <c r="G119" s="44"/>
      <c r="H119" s="48"/>
      <c r="I119" s="48"/>
      <c r="J119" s="48"/>
      <c r="K119" s="49"/>
      <c r="L119" s="49"/>
      <c r="M119" s="49"/>
      <c r="N119" s="68"/>
      <c r="O119" s="67"/>
      <c r="P119" s="53"/>
      <c r="Q119" s="51"/>
      <c r="S119" s="52"/>
      <c r="T119" s="52"/>
    </row>
    <row r="120" spans="1:20" ht="15.75">
      <c r="A120" s="43">
        <v>122</v>
      </c>
      <c r="B120" s="44"/>
      <c r="C120" s="44"/>
      <c r="D120" s="45"/>
      <c r="E120" s="46"/>
      <c r="F120" s="47"/>
      <c r="G120" s="44"/>
      <c r="H120" s="48"/>
      <c r="I120" s="48"/>
      <c r="J120" s="48"/>
      <c r="K120" s="49"/>
      <c r="L120" s="49"/>
      <c r="M120" s="49"/>
      <c r="N120" s="68"/>
      <c r="O120" s="67"/>
      <c r="P120" s="53"/>
      <c r="Q120" s="51"/>
      <c r="S120" s="52"/>
      <c r="T120" s="52"/>
    </row>
    <row r="121" spans="1:20" ht="15.75">
      <c r="A121" s="43">
        <v>123</v>
      </c>
      <c r="B121" s="44"/>
      <c r="C121" s="44"/>
      <c r="D121" s="45"/>
      <c r="E121" s="46"/>
      <c r="F121" s="47"/>
      <c r="G121" s="44"/>
      <c r="H121" s="48"/>
      <c r="I121" s="48"/>
      <c r="J121" s="48"/>
      <c r="K121" s="49"/>
      <c r="L121" s="49"/>
      <c r="M121" s="49"/>
      <c r="N121" s="68"/>
      <c r="O121" s="67"/>
      <c r="P121" s="53"/>
      <c r="Q121" s="51"/>
      <c r="S121" s="52"/>
      <c r="T121" s="52"/>
    </row>
    <row r="122" spans="1:20" ht="15.75">
      <c r="A122" s="43">
        <v>124</v>
      </c>
      <c r="B122" s="44"/>
      <c r="C122" s="44"/>
      <c r="D122" s="45"/>
      <c r="E122" s="46"/>
      <c r="F122" s="47"/>
      <c r="G122" s="44"/>
      <c r="H122" s="48"/>
      <c r="I122" s="48"/>
      <c r="J122" s="48"/>
      <c r="K122" s="49"/>
      <c r="L122" s="49"/>
      <c r="M122" s="49"/>
      <c r="N122" s="68"/>
      <c r="O122" s="67"/>
      <c r="P122" s="53"/>
      <c r="Q122" s="51"/>
      <c r="S122" s="52"/>
      <c r="T122" s="52"/>
    </row>
    <row r="123" spans="1:20" ht="15.75">
      <c r="A123" s="43">
        <v>125</v>
      </c>
      <c r="B123" s="44"/>
      <c r="C123" s="44"/>
      <c r="D123" s="45"/>
      <c r="E123" s="46"/>
      <c r="F123" s="47"/>
      <c r="G123" s="44"/>
      <c r="H123" s="48"/>
      <c r="I123" s="48"/>
      <c r="J123" s="48"/>
      <c r="K123" s="49"/>
      <c r="L123" s="49"/>
      <c r="M123" s="49"/>
      <c r="N123" s="68"/>
      <c r="O123" s="67"/>
      <c r="P123" s="53"/>
      <c r="Q123" s="51"/>
      <c r="S123" s="52"/>
      <c r="T123" s="52"/>
    </row>
    <row r="124" spans="1:20" ht="15.75">
      <c r="A124" s="43">
        <v>126</v>
      </c>
      <c r="B124" s="44"/>
      <c r="C124" s="44"/>
      <c r="D124" s="45"/>
      <c r="E124" s="46"/>
      <c r="F124" s="47"/>
      <c r="G124" s="44"/>
      <c r="H124" s="48"/>
      <c r="I124" s="48"/>
      <c r="J124" s="48"/>
      <c r="K124" s="49"/>
      <c r="L124" s="49"/>
      <c r="M124" s="49"/>
      <c r="N124" s="68"/>
      <c r="O124" s="67"/>
      <c r="P124" s="53"/>
      <c r="Q124" s="51"/>
      <c r="S124" s="52"/>
      <c r="T124" s="52"/>
    </row>
    <row r="125" spans="1:20" ht="15.75">
      <c r="A125" s="43">
        <v>127</v>
      </c>
      <c r="B125" s="44"/>
      <c r="C125" s="44"/>
      <c r="D125" s="45"/>
      <c r="E125" s="46"/>
      <c r="F125" s="47"/>
      <c r="G125" s="44"/>
      <c r="H125" s="48"/>
      <c r="I125" s="48"/>
      <c r="J125" s="48"/>
      <c r="K125" s="49"/>
      <c r="L125" s="49"/>
      <c r="M125" s="49"/>
      <c r="N125" s="68"/>
      <c r="O125" s="67"/>
      <c r="P125" s="53"/>
      <c r="Q125" s="51"/>
      <c r="S125" s="52"/>
      <c r="T125" s="52"/>
    </row>
    <row r="126" spans="1:20" ht="15.75">
      <c r="A126" s="43">
        <v>128</v>
      </c>
      <c r="B126" s="44"/>
      <c r="C126" s="44"/>
      <c r="D126" s="45"/>
      <c r="E126" s="46"/>
      <c r="F126" s="47"/>
      <c r="G126" s="44"/>
      <c r="H126" s="48"/>
      <c r="I126" s="48"/>
      <c r="J126" s="48"/>
      <c r="K126" s="49"/>
      <c r="L126" s="49"/>
      <c r="M126" s="49"/>
      <c r="N126" s="68"/>
      <c r="O126" s="67"/>
      <c r="P126" s="53"/>
      <c r="Q126" s="51"/>
      <c r="S126" s="52"/>
      <c r="T126" s="52"/>
    </row>
    <row r="127" spans="1:20" ht="15.75">
      <c r="A127" s="43">
        <v>129</v>
      </c>
      <c r="B127" s="44"/>
      <c r="C127" s="44"/>
      <c r="D127" s="45"/>
      <c r="E127" s="46"/>
      <c r="F127" s="47"/>
      <c r="G127" s="44"/>
      <c r="H127" s="48"/>
      <c r="I127" s="48"/>
      <c r="J127" s="48"/>
      <c r="K127" s="49"/>
      <c r="L127" s="49"/>
      <c r="M127" s="49"/>
      <c r="N127" s="68"/>
      <c r="O127" s="67"/>
      <c r="P127" s="53"/>
      <c r="Q127" s="51"/>
      <c r="S127" s="52"/>
      <c r="T127" s="52"/>
    </row>
    <row r="128" spans="1:20" ht="15.75">
      <c r="A128" s="43">
        <v>130</v>
      </c>
      <c r="B128" s="44"/>
      <c r="C128" s="44"/>
      <c r="D128" s="45"/>
      <c r="E128" s="46"/>
      <c r="F128" s="47"/>
      <c r="G128" s="44"/>
      <c r="H128" s="48"/>
      <c r="I128" s="48"/>
      <c r="J128" s="48"/>
      <c r="K128" s="49"/>
      <c r="L128" s="49"/>
      <c r="M128" s="49"/>
      <c r="N128" s="68"/>
      <c r="O128" s="67"/>
      <c r="P128" s="53"/>
      <c r="Q128" s="51"/>
      <c r="S128" s="52"/>
      <c r="T128" s="52"/>
    </row>
    <row r="129" spans="1:20" ht="15.75">
      <c r="A129" s="43">
        <v>131</v>
      </c>
      <c r="B129" s="44"/>
      <c r="C129" s="44"/>
      <c r="D129" s="45"/>
      <c r="E129" s="46"/>
      <c r="F129" s="47"/>
      <c r="G129" s="44"/>
      <c r="H129" s="48"/>
      <c r="I129" s="48"/>
      <c r="J129" s="48"/>
      <c r="K129" s="49"/>
      <c r="L129" s="49"/>
      <c r="M129" s="49"/>
      <c r="N129" s="68"/>
      <c r="O129" s="67"/>
      <c r="P129" s="53"/>
      <c r="Q129" s="51"/>
      <c r="S129" s="52"/>
      <c r="T129" s="52"/>
    </row>
    <row r="130" spans="1:20" ht="15.75">
      <c r="A130" s="43">
        <v>132</v>
      </c>
      <c r="B130" s="44"/>
      <c r="C130" s="44"/>
      <c r="D130" s="45"/>
      <c r="E130" s="46"/>
      <c r="F130" s="47"/>
      <c r="G130" s="44"/>
      <c r="H130" s="48"/>
      <c r="I130" s="48"/>
      <c r="J130" s="48"/>
      <c r="K130" s="49"/>
      <c r="L130" s="49"/>
      <c r="M130" s="49"/>
      <c r="N130" s="68"/>
      <c r="O130" s="67"/>
      <c r="P130" s="53"/>
      <c r="Q130" s="51"/>
      <c r="S130" s="52"/>
      <c r="T130" s="52"/>
    </row>
    <row r="131" spans="1:20" ht="15.75">
      <c r="A131" s="43">
        <v>133</v>
      </c>
      <c r="B131" s="44"/>
      <c r="C131" s="44"/>
      <c r="D131" s="45"/>
      <c r="E131" s="46"/>
      <c r="F131" s="47"/>
      <c r="G131" s="44"/>
      <c r="H131" s="48"/>
      <c r="I131" s="48"/>
      <c r="J131" s="48"/>
      <c r="K131" s="49"/>
      <c r="L131" s="49"/>
      <c r="M131" s="49"/>
      <c r="N131" s="68"/>
      <c r="O131" s="67"/>
      <c r="P131" s="53"/>
      <c r="Q131" s="51"/>
      <c r="S131" s="52"/>
      <c r="T131" s="52"/>
    </row>
    <row r="132" spans="1:20" ht="15.75">
      <c r="A132" s="43">
        <v>134</v>
      </c>
      <c r="B132" s="44"/>
      <c r="C132" s="44"/>
      <c r="D132" s="45"/>
      <c r="E132" s="46"/>
      <c r="F132" s="47"/>
      <c r="G132" s="44"/>
      <c r="H132" s="48"/>
      <c r="I132" s="48"/>
      <c r="J132" s="48"/>
      <c r="K132" s="49"/>
      <c r="L132" s="49"/>
      <c r="M132" s="49"/>
      <c r="N132" s="68"/>
      <c r="O132" s="67"/>
      <c r="P132" s="53"/>
      <c r="Q132" s="51"/>
      <c r="S132" s="52"/>
      <c r="T132" s="52"/>
    </row>
    <row r="133" spans="1:20" ht="15.75">
      <c r="A133" s="43">
        <v>135</v>
      </c>
      <c r="B133" s="44"/>
      <c r="C133" s="44"/>
      <c r="D133" s="45"/>
      <c r="E133" s="46"/>
      <c r="F133" s="47"/>
      <c r="G133" s="44"/>
      <c r="H133" s="48"/>
      <c r="I133" s="48"/>
      <c r="J133" s="48"/>
      <c r="K133" s="49"/>
      <c r="L133" s="49"/>
      <c r="M133" s="49"/>
      <c r="N133" s="68"/>
      <c r="O133" s="67"/>
      <c r="P133" s="53"/>
      <c r="Q133" s="51"/>
      <c r="S133" s="52"/>
      <c r="T133" s="52"/>
    </row>
    <row r="134" spans="1:20" ht="15.75">
      <c r="A134" s="43">
        <v>136</v>
      </c>
      <c r="B134" s="44"/>
      <c r="C134" s="44"/>
      <c r="D134" s="45"/>
      <c r="E134" s="46"/>
      <c r="F134" s="47"/>
      <c r="G134" s="44"/>
      <c r="H134" s="48"/>
      <c r="I134" s="48"/>
      <c r="J134" s="48"/>
      <c r="K134" s="49"/>
      <c r="L134" s="49"/>
      <c r="M134" s="49"/>
      <c r="N134" s="68"/>
      <c r="O134" s="67"/>
      <c r="P134" s="53"/>
      <c r="Q134" s="51"/>
      <c r="S134" s="52"/>
      <c r="T134" s="52"/>
    </row>
    <row r="135" spans="1:20" ht="15.75">
      <c r="A135" s="43">
        <v>137</v>
      </c>
      <c r="B135" s="44"/>
      <c r="C135" s="44"/>
      <c r="D135" s="45"/>
      <c r="E135" s="46"/>
      <c r="F135" s="47"/>
      <c r="G135" s="44"/>
      <c r="H135" s="48"/>
      <c r="I135" s="48"/>
      <c r="J135" s="48"/>
      <c r="K135" s="49"/>
      <c r="L135" s="49"/>
      <c r="M135" s="49"/>
      <c r="N135" s="68"/>
      <c r="O135" s="67"/>
      <c r="P135" s="53"/>
      <c r="Q135" s="51"/>
      <c r="S135" s="52"/>
      <c r="T135" s="52"/>
    </row>
    <row r="136" spans="1:20" ht="15.75">
      <c r="A136" s="43">
        <v>138</v>
      </c>
      <c r="B136" s="44"/>
      <c r="C136" s="44"/>
      <c r="D136" s="45"/>
      <c r="E136" s="46"/>
      <c r="F136" s="47"/>
      <c r="G136" s="44"/>
      <c r="H136" s="48"/>
      <c r="I136" s="48"/>
      <c r="J136" s="48"/>
      <c r="K136" s="49"/>
      <c r="L136" s="49"/>
      <c r="M136" s="49"/>
      <c r="N136" s="68"/>
      <c r="O136" s="67"/>
      <c r="P136" s="53"/>
      <c r="Q136" s="51"/>
      <c r="S136" s="52"/>
      <c r="T136" s="52"/>
    </row>
    <row r="137" spans="1:20" ht="15.75">
      <c r="A137" s="43">
        <v>139</v>
      </c>
      <c r="B137" s="44"/>
      <c r="C137" s="44"/>
      <c r="D137" s="45"/>
      <c r="E137" s="46"/>
      <c r="F137" s="47"/>
      <c r="G137" s="44"/>
      <c r="H137" s="48"/>
      <c r="I137" s="48"/>
      <c r="J137" s="48"/>
      <c r="K137" s="49"/>
      <c r="L137" s="49"/>
      <c r="M137" s="49"/>
      <c r="N137" s="68"/>
      <c r="O137" s="67"/>
      <c r="P137" s="53"/>
      <c r="Q137" s="51"/>
      <c r="S137" s="52"/>
      <c r="T137" s="52"/>
    </row>
    <row r="138" spans="1:20" ht="15.75">
      <c r="A138" s="43">
        <v>140</v>
      </c>
      <c r="B138" s="44"/>
      <c r="C138" s="44"/>
      <c r="D138" s="45"/>
      <c r="E138" s="46"/>
      <c r="F138" s="47"/>
      <c r="G138" s="44"/>
      <c r="H138" s="48"/>
      <c r="I138" s="48"/>
      <c r="J138" s="48"/>
      <c r="K138" s="49"/>
      <c r="L138" s="49"/>
      <c r="M138" s="49"/>
      <c r="N138" s="68"/>
      <c r="O138" s="67"/>
      <c r="P138" s="53"/>
      <c r="Q138" s="51"/>
      <c r="S138" s="52"/>
      <c r="T138" s="52"/>
    </row>
    <row r="139" spans="1:20" ht="15.75">
      <c r="A139" s="43">
        <v>141</v>
      </c>
      <c r="B139" s="44"/>
      <c r="C139" s="44"/>
      <c r="D139" s="45"/>
      <c r="E139" s="46"/>
      <c r="F139" s="47"/>
      <c r="G139" s="44"/>
      <c r="H139" s="48"/>
      <c r="I139" s="48"/>
      <c r="J139" s="48"/>
      <c r="K139" s="49"/>
      <c r="L139" s="49"/>
      <c r="M139" s="49"/>
      <c r="N139" s="68"/>
      <c r="O139" s="67"/>
      <c r="P139" s="53"/>
      <c r="Q139" s="51"/>
      <c r="S139" s="52"/>
      <c r="T139" s="52"/>
    </row>
    <row r="140" spans="1:20" ht="15.75">
      <c r="A140" s="43">
        <v>142</v>
      </c>
      <c r="B140" s="44"/>
      <c r="C140" s="44"/>
      <c r="D140" s="45"/>
      <c r="E140" s="46"/>
      <c r="F140" s="47"/>
      <c r="G140" s="44"/>
      <c r="H140" s="48"/>
      <c r="I140" s="48"/>
      <c r="J140" s="48"/>
      <c r="K140" s="49"/>
      <c r="L140" s="49"/>
      <c r="M140" s="49"/>
      <c r="N140" s="68"/>
      <c r="O140" s="67"/>
      <c r="P140" s="53"/>
      <c r="Q140" s="51"/>
      <c r="S140" s="52"/>
      <c r="T140" s="52"/>
    </row>
    <row r="141" spans="1:20" ht="15.75">
      <c r="A141" s="43">
        <v>143</v>
      </c>
      <c r="B141" s="44"/>
      <c r="C141" s="44"/>
      <c r="D141" s="45"/>
      <c r="E141" s="46"/>
      <c r="F141" s="47"/>
      <c r="G141" s="44"/>
      <c r="H141" s="48"/>
      <c r="I141" s="48"/>
      <c r="J141" s="48"/>
      <c r="K141" s="49"/>
      <c r="L141" s="49"/>
      <c r="M141" s="49"/>
      <c r="N141" s="68"/>
      <c r="O141" s="67"/>
      <c r="P141" s="53"/>
      <c r="Q141" s="51"/>
      <c r="S141" s="52"/>
      <c r="T141" s="52"/>
    </row>
    <row r="142" spans="1:20" ht="15.75">
      <c r="A142" s="43">
        <v>144</v>
      </c>
      <c r="B142" s="44"/>
      <c r="C142" s="44"/>
      <c r="D142" s="45"/>
      <c r="E142" s="46"/>
      <c r="F142" s="47"/>
      <c r="G142" s="44"/>
      <c r="H142" s="48"/>
      <c r="I142" s="48"/>
      <c r="J142" s="48"/>
      <c r="K142" s="49"/>
      <c r="L142" s="49"/>
      <c r="M142" s="49"/>
      <c r="N142" s="68"/>
      <c r="O142" s="67"/>
      <c r="P142" s="53"/>
      <c r="Q142" s="51"/>
      <c r="S142" s="52"/>
      <c r="T142" s="52"/>
    </row>
    <row r="143" spans="1:20" ht="15.75">
      <c r="A143" s="43">
        <v>145</v>
      </c>
      <c r="B143" s="44"/>
      <c r="C143" s="44"/>
      <c r="D143" s="45"/>
      <c r="E143" s="46"/>
      <c r="F143" s="47"/>
      <c r="G143" s="44"/>
      <c r="H143" s="48"/>
      <c r="I143" s="48"/>
      <c r="J143" s="48"/>
      <c r="K143" s="49"/>
      <c r="L143" s="49"/>
      <c r="M143" s="49"/>
      <c r="N143" s="68"/>
      <c r="O143" s="67"/>
      <c r="P143" s="53"/>
      <c r="Q143" s="51"/>
      <c r="S143" s="52"/>
      <c r="T143" s="52"/>
    </row>
    <row r="144" spans="1:20" ht="15.75">
      <c r="A144" s="43">
        <v>146</v>
      </c>
      <c r="B144" s="44"/>
      <c r="C144" s="44"/>
      <c r="D144" s="45"/>
      <c r="E144" s="46"/>
      <c r="F144" s="47"/>
      <c r="G144" s="44"/>
      <c r="H144" s="48"/>
      <c r="I144" s="48"/>
      <c r="J144" s="48"/>
      <c r="K144" s="49"/>
      <c r="L144" s="49"/>
      <c r="M144" s="49"/>
      <c r="N144" s="68"/>
      <c r="O144" s="67"/>
      <c r="P144" s="53"/>
      <c r="Q144" s="51"/>
      <c r="S144" s="52"/>
      <c r="T144" s="52"/>
    </row>
    <row r="145" spans="1:20" ht="15.75">
      <c r="A145" s="43">
        <v>147</v>
      </c>
      <c r="B145" s="44"/>
      <c r="C145" s="44"/>
      <c r="D145" s="45"/>
      <c r="E145" s="46"/>
      <c r="F145" s="47"/>
      <c r="G145" s="44"/>
      <c r="H145" s="48"/>
      <c r="I145" s="48"/>
      <c r="J145" s="48"/>
      <c r="K145" s="49"/>
      <c r="L145" s="49"/>
      <c r="M145" s="49"/>
      <c r="N145" s="68"/>
      <c r="O145" s="67"/>
      <c r="P145" s="53"/>
      <c r="Q145" s="51"/>
      <c r="S145" s="52"/>
      <c r="T145" s="52"/>
    </row>
    <row r="146" spans="1:20" ht="15.75">
      <c r="A146" s="43">
        <v>148</v>
      </c>
      <c r="B146" s="44"/>
      <c r="C146" s="44"/>
      <c r="D146" s="45"/>
      <c r="E146" s="46"/>
      <c r="F146" s="47"/>
      <c r="G146" s="44"/>
      <c r="H146" s="48"/>
      <c r="I146" s="48"/>
      <c r="J146" s="48"/>
      <c r="K146" s="49"/>
      <c r="L146" s="49"/>
      <c r="M146" s="49"/>
      <c r="N146" s="68"/>
      <c r="O146" s="67"/>
      <c r="P146" s="53"/>
      <c r="Q146" s="51"/>
      <c r="S146" s="52"/>
      <c r="T146" s="52"/>
    </row>
    <row r="147" spans="1:20" ht="15.75">
      <c r="A147" s="43">
        <v>149</v>
      </c>
      <c r="B147" s="44"/>
      <c r="C147" s="44"/>
      <c r="D147" s="45"/>
      <c r="E147" s="46"/>
      <c r="F147" s="47"/>
      <c r="G147" s="44"/>
      <c r="H147" s="48"/>
      <c r="I147" s="48"/>
      <c r="J147" s="48"/>
      <c r="K147" s="49"/>
      <c r="L147" s="49"/>
      <c r="M147" s="49"/>
      <c r="N147" s="68"/>
      <c r="O147" s="67"/>
      <c r="P147" s="53"/>
      <c r="Q147" s="51"/>
      <c r="S147" s="52"/>
      <c r="T147" s="52"/>
    </row>
    <row r="148" spans="1:20" ht="15.75">
      <c r="A148" s="43">
        <v>150</v>
      </c>
      <c r="B148" s="44"/>
      <c r="C148" s="44"/>
      <c r="D148" s="45"/>
      <c r="E148" s="46"/>
      <c r="F148" s="47"/>
      <c r="G148" s="44"/>
      <c r="H148" s="48"/>
      <c r="I148" s="48"/>
      <c r="J148" s="48"/>
      <c r="K148" s="49"/>
      <c r="L148" s="49"/>
      <c r="M148" s="49"/>
      <c r="N148" s="68"/>
      <c r="O148" s="67"/>
      <c r="P148" s="53"/>
      <c r="Q148" s="51"/>
      <c r="S148" s="52"/>
      <c r="T148" s="52"/>
    </row>
    <row r="149" spans="1:20" ht="15.75">
      <c r="A149" s="43">
        <v>151</v>
      </c>
      <c r="B149" s="44"/>
      <c r="C149" s="44"/>
      <c r="D149" s="45"/>
      <c r="E149" s="46"/>
      <c r="F149" s="47"/>
      <c r="G149" s="44"/>
      <c r="H149" s="48"/>
      <c r="I149" s="48"/>
      <c r="J149" s="48"/>
      <c r="K149" s="49"/>
      <c r="L149" s="49"/>
      <c r="M149" s="49"/>
      <c r="N149" s="68"/>
      <c r="O149" s="67"/>
      <c r="P149" s="53"/>
      <c r="Q149" s="51"/>
      <c r="S149" s="52"/>
      <c r="T149" s="52"/>
    </row>
    <row r="150" spans="1:20" ht="15.75">
      <c r="A150" s="43">
        <v>152</v>
      </c>
      <c r="B150" s="44"/>
      <c r="C150" s="44"/>
      <c r="D150" s="45"/>
      <c r="E150" s="46"/>
      <c r="F150" s="47"/>
      <c r="G150" s="44"/>
      <c r="H150" s="48"/>
      <c r="I150" s="48"/>
      <c r="J150" s="48"/>
      <c r="K150" s="49"/>
      <c r="L150" s="49"/>
      <c r="M150" s="49"/>
      <c r="N150" s="68"/>
      <c r="O150" s="67"/>
      <c r="P150" s="53"/>
      <c r="Q150" s="51"/>
      <c r="S150" s="52"/>
      <c r="T150" s="52"/>
    </row>
    <row r="151" spans="1:20" ht="15.75">
      <c r="A151" s="43">
        <v>153</v>
      </c>
      <c r="B151" s="44"/>
      <c r="C151" s="44"/>
      <c r="D151" s="45"/>
      <c r="E151" s="46"/>
      <c r="F151" s="47"/>
      <c r="G151" s="44"/>
      <c r="H151" s="48"/>
      <c r="I151" s="48"/>
      <c r="J151" s="48"/>
      <c r="K151" s="49"/>
      <c r="L151" s="49"/>
      <c r="M151" s="49"/>
      <c r="N151" s="68"/>
      <c r="O151" s="67"/>
      <c r="P151" s="53"/>
      <c r="Q151" s="51"/>
      <c r="S151" s="52"/>
      <c r="T151" s="52"/>
    </row>
    <row r="152" spans="1:20" ht="15.75">
      <c r="A152" s="43">
        <v>154</v>
      </c>
      <c r="B152" s="44"/>
      <c r="C152" s="44"/>
      <c r="D152" s="45"/>
      <c r="E152" s="46"/>
      <c r="F152" s="47"/>
      <c r="G152" s="44"/>
      <c r="H152" s="48"/>
      <c r="I152" s="48"/>
      <c r="J152" s="48"/>
      <c r="K152" s="49"/>
      <c r="L152" s="49"/>
      <c r="M152" s="49"/>
      <c r="N152" s="68"/>
      <c r="O152" s="67"/>
      <c r="P152" s="53"/>
      <c r="Q152" s="51"/>
      <c r="S152" s="52"/>
      <c r="T152" s="52"/>
    </row>
    <row r="153" spans="1:20" ht="15.75">
      <c r="A153" s="43">
        <v>155</v>
      </c>
      <c r="B153" s="44"/>
      <c r="C153" s="44"/>
      <c r="D153" s="45"/>
      <c r="E153" s="46"/>
      <c r="F153" s="47"/>
      <c r="G153" s="44"/>
      <c r="H153" s="48"/>
      <c r="I153" s="48"/>
      <c r="J153" s="48"/>
      <c r="K153" s="49"/>
      <c r="L153" s="49"/>
      <c r="M153" s="49"/>
      <c r="N153" s="68"/>
      <c r="O153" s="67"/>
      <c r="P153" s="53"/>
      <c r="Q153" s="51"/>
      <c r="S153" s="52"/>
      <c r="T153" s="52"/>
    </row>
    <row r="154" spans="1:20" ht="15.75">
      <c r="A154" s="43">
        <v>156</v>
      </c>
      <c r="B154" s="44"/>
      <c r="C154" s="44"/>
      <c r="D154" s="45"/>
      <c r="E154" s="46"/>
      <c r="F154" s="47"/>
      <c r="G154" s="44"/>
      <c r="H154" s="48"/>
      <c r="I154" s="48"/>
      <c r="J154" s="48"/>
      <c r="K154" s="49"/>
      <c r="L154" s="49"/>
      <c r="M154" s="49"/>
      <c r="N154" s="68"/>
      <c r="O154" s="67"/>
      <c r="P154" s="53"/>
      <c r="Q154" s="51"/>
      <c r="S154" s="52"/>
      <c r="T154" s="52"/>
    </row>
    <row r="155" spans="1:20" ht="15.75">
      <c r="A155" s="43">
        <v>157</v>
      </c>
      <c r="B155" s="44"/>
      <c r="C155" s="44"/>
      <c r="D155" s="45"/>
      <c r="E155" s="46"/>
      <c r="F155" s="47"/>
      <c r="G155" s="44"/>
      <c r="H155" s="48"/>
      <c r="I155" s="48"/>
      <c r="J155" s="48"/>
      <c r="K155" s="49"/>
      <c r="L155" s="49"/>
      <c r="M155" s="49"/>
      <c r="N155" s="68"/>
      <c r="O155" s="67"/>
      <c r="P155" s="53"/>
      <c r="Q155" s="51"/>
      <c r="S155" s="52"/>
      <c r="T155" s="52"/>
    </row>
    <row r="156" spans="1:20" ht="15.75">
      <c r="A156" s="43">
        <v>158</v>
      </c>
      <c r="B156" s="44"/>
      <c r="C156" s="44"/>
      <c r="D156" s="45"/>
      <c r="E156" s="46"/>
      <c r="F156" s="47"/>
      <c r="G156" s="44"/>
      <c r="H156" s="48"/>
      <c r="I156" s="48"/>
      <c r="J156" s="48"/>
      <c r="K156" s="49"/>
      <c r="L156" s="49"/>
      <c r="M156" s="49"/>
      <c r="N156" s="68"/>
      <c r="O156" s="67"/>
      <c r="P156" s="53"/>
      <c r="Q156" s="51"/>
      <c r="S156" s="52"/>
      <c r="T156" s="52"/>
    </row>
    <row r="157" spans="1:20" ht="15.75">
      <c r="A157" s="43">
        <v>159</v>
      </c>
      <c r="B157" s="44"/>
      <c r="C157" s="44"/>
      <c r="D157" s="45"/>
      <c r="E157" s="46"/>
      <c r="F157" s="47"/>
      <c r="G157" s="44"/>
      <c r="H157" s="48"/>
      <c r="I157" s="48"/>
      <c r="J157" s="48"/>
      <c r="K157" s="49"/>
      <c r="L157" s="49"/>
      <c r="M157" s="49"/>
      <c r="N157" s="68"/>
      <c r="O157" s="67"/>
      <c r="P157" s="53"/>
      <c r="Q157" s="51"/>
      <c r="S157" s="52"/>
      <c r="T157" s="52"/>
    </row>
    <row r="158" spans="1:20" ht="15.75">
      <c r="A158" s="43">
        <v>160</v>
      </c>
      <c r="B158" s="44"/>
      <c r="C158" s="44"/>
      <c r="D158" s="45"/>
      <c r="E158" s="46"/>
      <c r="F158" s="47"/>
      <c r="G158" s="44"/>
      <c r="H158" s="48"/>
      <c r="I158" s="48"/>
      <c r="J158" s="48"/>
      <c r="K158" s="49"/>
      <c r="L158" s="49"/>
      <c r="M158" s="49"/>
      <c r="N158" s="68"/>
      <c r="O158" s="67"/>
      <c r="P158" s="53"/>
      <c r="Q158" s="51"/>
      <c r="S158" s="52"/>
      <c r="T158" s="52"/>
    </row>
    <row r="159" spans="1:20" ht="15.75">
      <c r="A159" s="43">
        <v>161</v>
      </c>
      <c r="B159" s="44"/>
      <c r="C159" s="44"/>
      <c r="D159" s="45"/>
      <c r="E159" s="46"/>
      <c r="F159" s="47"/>
      <c r="G159" s="44"/>
      <c r="H159" s="48"/>
      <c r="I159" s="48"/>
      <c r="J159" s="48"/>
      <c r="K159" s="49"/>
      <c r="L159" s="49"/>
      <c r="M159" s="49"/>
      <c r="N159" s="68"/>
      <c r="O159" s="67"/>
      <c r="P159" s="53"/>
      <c r="Q159" s="51"/>
      <c r="S159" s="52"/>
      <c r="T159" s="52"/>
    </row>
    <row r="160" spans="1:20" ht="15.75">
      <c r="A160" s="43">
        <v>162</v>
      </c>
      <c r="B160" s="44"/>
      <c r="C160" s="44"/>
      <c r="D160" s="45"/>
      <c r="E160" s="46"/>
      <c r="F160" s="47"/>
      <c r="G160" s="44"/>
      <c r="H160" s="48"/>
      <c r="I160" s="48"/>
      <c r="J160" s="48"/>
      <c r="K160" s="49"/>
      <c r="L160" s="49"/>
      <c r="M160" s="49"/>
      <c r="N160" s="68"/>
      <c r="O160" s="67"/>
      <c r="P160" s="53"/>
      <c r="Q160" s="51"/>
      <c r="S160" s="52"/>
      <c r="T160" s="52"/>
    </row>
    <row r="161" spans="1:20" ht="15.75">
      <c r="A161" s="43">
        <v>163</v>
      </c>
      <c r="B161" s="44"/>
      <c r="C161" s="44"/>
      <c r="D161" s="45"/>
      <c r="E161" s="46"/>
      <c r="F161" s="47"/>
      <c r="G161" s="44"/>
      <c r="H161" s="48"/>
      <c r="I161" s="48"/>
      <c r="J161" s="48"/>
      <c r="K161" s="49"/>
      <c r="L161" s="49"/>
      <c r="M161" s="49"/>
      <c r="N161" s="68"/>
      <c r="O161" s="67"/>
      <c r="P161" s="53"/>
      <c r="Q161" s="51"/>
      <c r="S161" s="52"/>
      <c r="T161" s="52"/>
    </row>
    <row r="162" spans="1:20" ht="15.75">
      <c r="A162" s="43">
        <v>164</v>
      </c>
      <c r="B162" s="44"/>
      <c r="C162" s="44"/>
      <c r="D162" s="45"/>
      <c r="E162" s="46"/>
      <c r="F162" s="47"/>
      <c r="G162" s="44"/>
      <c r="H162" s="48"/>
      <c r="I162" s="48"/>
      <c r="J162" s="48"/>
      <c r="K162" s="49"/>
      <c r="L162" s="49"/>
      <c r="M162" s="49"/>
      <c r="N162" s="68"/>
      <c r="O162" s="67"/>
      <c r="P162" s="53"/>
      <c r="Q162" s="51"/>
      <c r="S162" s="52"/>
      <c r="T162" s="52"/>
    </row>
    <row r="163" spans="1:20" ht="15.75">
      <c r="A163" s="43">
        <v>165</v>
      </c>
      <c r="B163" s="44"/>
      <c r="C163" s="44"/>
      <c r="D163" s="45"/>
      <c r="E163" s="46"/>
      <c r="F163" s="47"/>
      <c r="G163" s="44"/>
      <c r="H163" s="48"/>
      <c r="I163" s="48"/>
      <c r="J163" s="48"/>
      <c r="K163" s="49"/>
      <c r="L163" s="49"/>
      <c r="M163" s="49"/>
      <c r="N163" s="68"/>
      <c r="O163" s="67"/>
      <c r="P163" s="53"/>
      <c r="Q163" s="51"/>
      <c r="S163" s="52"/>
      <c r="T163" s="52"/>
    </row>
    <row r="164" spans="1:20" ht="15.75">
      <c r="A164" s="43">
        <v>166</v>
      </c>
      <c r="B164" s="44"/>
      <c r="C164" s="44"/>
      <c r="D164" s="45"/>
      <c r="E164" s="46"/>
      <c r="F164" s="47"/>
      <c r="G164" s="44"/>
      <c r="H164" s="48"/>
      <c r="I164" s="48"/>
      <c r="J164" s="48"/>
      <c r="K164" s="49"/>
      <c r="L164" s="49"/>
      <c r="M164" s="49"/>
      <c r="N164" s="68"/>
      <c r="O164" s="67"/>
      <c r="P164" s="53"/>
      <c r="Q164" s="51"/>
      <c r="S164" s="52"/>
      <c r="T164" s="52"/>
    </row>
    <row r="165" spans="1:20" ht="15.75">
      <c r="A165" s="43">
        <v>167</v>
      </c>
      <c r="B165" s="44"/>
      <c r="C165" s="44"/>
      <c r="D165" s="45"/>
      <c r="E165" s="46"/>
      <c r="F165" s="47"/>
      <c r="G165" s="44"/>
      <c r="H165" s="48"/>
      <c r="I165" s="48"/>
      <c r="J165" s="48"/>
      <c r="K165" s="49"/>
      <c r="L165" s="49"/>
      <c r="M165" s="49"/>
      <c r="N165" s="68"/>
      <c r="O165" s="67"/>
      <c r="P165" s="53"/>
      <c r="Q165" s="51"/>
      <c r="S165" s="52"/>
      <c r="T165" s="52"/>
    </row>
    <row r="166" spans="1:20" ht="15.75">
      <c r="A166" s="43">
        <v>168</v>
      </c>
      <c r="B166" s="44"/>
      <c r="C166" s="44"/>
      <c r="D166" s="45"/>
      <c r="E166" s="46"/>
      <c r="F166" s="47"/>
      <c r="G166" s="44"/>
      <c r="H166" s="48"/>
      <c r="I166" s="48"/>
      <c r="J166" s="48"/>
      <c r="K166" s="49"/>
      <c r="L166" s="49"/>
      <c r="M166" s="49"/>
      <c r="N166" s="68"/>
      <c r="O166" s="67"/>
      <c r="P166" s="53"/>
      <c r="Q166" s="51"/>
      <c r="S166" s="52"/>
      <c r="T166" s="52"/>
    </row>
    <row r="167" spans="1:20" ht="15.75">
      <c r="A167" s="43">
        <v>169</v>
      </c>
      <c r="B167" s="44"/>
      <c r="C167" s="44"/>
      <c r="D167" s="45"/>
      <c r="E167" s="46"/>
      <c r="F167" s="47"/>
      <c r="G167" s="44"/>
      <c r="H167" s="48"/>
      <c r="I167" s="48"/>
      <c r="J167" s="48"/>
      <c r="K167" s="49"/>
      <c r="L167" s="49"/>
      <c r="M167" s="49"/>
      <c r="N167" s="68"/>
      <c r="O167" s="67"/>
      <c r="P167" s="53"/>
      <c r="Q167" s="51"/>
      <c r="S167" s="52"/>
      <c r="T167" s="52"/>
    </row>
    <row r="168" spans="1:20" ht="15.75">
      <c r="A168" s="43">
        <v>170</v>
      </c>
      <c r="B168" s="44"/>
      <c r="C168" s="44"/>
      <c r="D168" s="45"/>
      <c r="E168" s="46"/>
      <c r="F168" s="47"/>
      <c r="G168" s="44"/>
      <c r="H168" s="48"/>
      <c r="I168" s="48"/>
      <c r="J168" s="48"/>
      <c r="K168" s="49"/>
      <c r="L168" s="49"/>
      <c r="M168" s="49"/>
      <c r="N168" s="68"/>
      <c r="O168" s="67"/>
      <c r="P168" s="53"/>
      <c r="Q168" s="51"/>
      <c r="S168" s="52"/>
      <c r="T168" s="52"/>
    </row>
    <row r="169" spans="1:20" ht="15.75">
      <c r="A169" s="43">
        <v>171</v>
      </c>
      <c r="B169" s="44"/>
      <c r="C169" s="44"/>
      <c r="D169" s="45"/>
      <c r="E169" s="46"/>
      <c r="F169" s="47"/>
      <c r="G169" s="44"/>
      <c r="H169" s="48"/>
      <c r="I169" s="48"/>
      <c r="J169" s="48"/>
      <c r="K169" s="49"/>
      <c r="L169" s="49"/>
      <c r="M169" s="49"/>
      <c r="N169" s="68"/>
      <c r="O169" s="67"/>
      <c r="P169" s="53"/>
      <c r="Q169" s="51"/>
      <c r="S169" s="52"/>
      <c r="T169" s="52"/>
    </row>
    <row r="170" spans="1:20" ht="15.75">
      <c r="A170" s="43">
        <v>172</v>
      </c>
      <c r="B170" s="44"/>
      <c r="C170" s="44"/>
      <c r="D170" s="45"/>
      <c r="E170" s="46"/>
      <c r="F170" s="47"/>
      <c r="G170" s="44"/>
      <c r="H170" s="48"/>
      <c r="I170" s="48"/>
      <c r="J170" s="48"/>
      <c r="K170" s="49"/>
      <c r="L170" s="49"/>
      <c r="M170" s="49"/>
      <c r="N170" s="68"/>
      <c r="O170" s="67"/>
      <c r="P170" s="53"/>
      <c r="Q170" s="51"/>
      <c r="S170" s="52"/>
      <c r="T170" s="52"/>
    </row>
    <row r="171" spans="1:20" ht="15.75">
      <c r="A171" s="43">
        <v>173</v>
      </c>
      <c r="B171" s="44"/>
      <c r="C171" s="44"/>
      <c r="D171" s="45"/>
      <c r="E171" s="46"/>
      <c r="F171" s="47"/>
      <c r="G171" s="44"/>
      <c r="H171" s="48"/>
      <c r="I171" s="48"/>
      <c r="J171" s="48"/>
      <c r="K171" s="49"/>
      <c r="L171" s="49"/>
      <c r="M171" s="49"/>
      <c r="N171" s="68"/>
      <c r="O171" s="67"/>
      <c r="P171" s="53"/>
      <c r="Q171" s="51"/>
      <c r="S171" s="52"/>
      <c r="T171" s="52"/>
    </row>
    <row r="172" spans="1:20" ht="15.75">
      <c r="A172" s="43">
        <v>174</v>
      </c>
      <c r="B172" s="44"/>
      <c r="C172" s="44"/>
      <c r="D172" s="45"/>
      <c r="E172" s="46"/>
      <c r="F172" s="47"/>
      <c r="G172" s="44"/>
      <c r="H172" s="48"/>
      <c r="I172" s="48"/>
      <c r="J172" s="48"/>
      <c r="K172" s="49"/>
      <c r="L172" s="49"/>
      <c r="M172" s="49"/>
      <c r="N172" s="68"/>
      <c r="O172" s="67"/>
      <c r="P172" s="53"/>
      <c r="Q172" s="51"/>
      <c r="S172" s="52"/>
      <c r="T172" s="52"/>
    </row>
    <row r="173" spans="1:20" ht="15.75">
      <c r="A173" s="43">
        <v>175</v>
      </c>
      <c r="B173" s="44"/>
      <c r="C173" s="44"/>
      <c r="D173" s="45"/>
      <c r="E173" s="46"/>
      <c r="F173" s="47"/>
      <c r="G173" s="44"/>
      <c r="H173" s="48"/>
      <c r="I173" s="48"/>
      <c r="J173" s="48"/>
      <c r="K173" s="49"/>
      <c r="L173" s="49"/>
      <c r="M173" s="49"/>
      <c r="N173" s="68"/>
      <c r="O173" s="67"/>
      <c r="P173" s="53"/>
      <c r="Q173" s="51"/>
      <c r="S173" s="52"/>
      <c r="T173" s="52"/>
    </row>
    <row r="174" spans="1:20" ht="15.75">
      <c r="A174" s="43">
        <v>176</v>
      </c>
      <c r="B174" s="44"/>
      <c r="C174" s="44"/>
      <c r="D174" s="45"/>
      <c r="E174" s="46"/>
      <c r="F174" s="47"/>
      <c r="G174" s="44"/>
      <c r="H174" s="48"/>
      <c r="I174" s="48"/>
      <c r="J174" s="48"/>
      <c r="K174" s="49"/>
      <c r="L174" s="49"/>
      <c r="M174" s="49"/>
      <c r="N174" s="68"/>
      <c r="O174" s="67"/>
      <c r="P174" s="53"/>
      <c r="Q174" s="51"/>
      <c r="S174" s="52"/>
      <c r="T174" s="52"/>
    </row>
    <row r="175" spans="1:20" ht="15.75">
      <c r="A175" s="43">
        <v>177</v>
      </c>
      <c r="B175" s="44"/>
      <c r="C175" s="44"/>
      <c r="D175" s="45"/>
      <c r="E175" s="46"/>
      <c r="F175" s="47"/>
      <c r="G175" s="44"/>
      <c r="H175" s="48"/>
      <c r="I175" s="48"/>
      <c r="J175" s="48"/>
      <c r="K175" s="49"/>
      <c r="L175" s="49"/>
      <c r="M175" s="49"/>
      <c r="N175" s="68"/>
      <c r="O175" s="67"/>
      <c r="P175" s="53"/>
      <c r="Q175" s="51"/>
      <c r="S175" s="52"/>
      <c r="T175" s="52"/>
    </row>
    <row r="176" spans="1:20" ht="15.75">
      <c r="A176" s="43">
        <v>178</v>
      </c>
      <c r="B176" s="44"/>
      <c r="C176" s="44"/>
      <c r="D176" s="45"/>
      <c r="E176" s="46"/>
      <c r="F176" s="47"/>
      <c r="G176" s="44"/>
      <c r="H176" s="48"/>
      <c r="I176" s="48"/>
      <c r="J176" s="48"/>
      <c r="K176" s="49"/>
      <c r="L176" s="49"/>
      <c r="M176" s="49"/>
      <c r="N176" s="68"/>
      <c r="O176" s="67"/>
      <c r="P176" s="53"/>
      <c r="Q176" s="51"/>
      <c r="S176" s="52"/>
      <c r="T176" s="52"/>
    </row>
    <row r="177" spans="1:20" ht="15.75">
      <c r="A177" s="43">
        <v>179</v>
      </c>
      <c r="B177" s="44"/>
      <c r="C177" s="44"/>
      <c r="D177" s="45"/>
      <c r="E177" s="46"/>
      <c r="F177" s="47"/>
      <c r="G177" s="44"/>
      <c r="H177" s="48"/>
      <c r="I177" s="48"/>
      <c r="J177" s="48"/>
      <c r="K177" s="49"/>
      <c r="L177" s="49"/>
      <c r="M177" s="49"/>
      <c r="N177" s="68"/>
      <c r="O177" s="67"/>
      <c r="P177" s="53"/>
      <c r="Q177" s="51"/>
      <c r="S177" s="52"/>
      <c r="T177" s="52"/>
    </row>
    <row r="178" spans="1:20" ht="15.75">
      <c r="A178" s="43">
        <v>180</v>
      </c>
      <c r="B178" s="44"/>
      <c r="C178" s="44"/>
      <c r="D178" s="45"/>
      <c r="E178" s="46"/>
      <c r="F178" s="47"/>
      <c r="G178" s="44"/>
      <c r="H178" s="48"/>
      <c r="I178" s="48"/>
      <c r="J178" s="48"/>
      <c r="K178" s="49"/>
      <c r="L178" s="49"/>
      <c r="M178" s="49"/>
      <c r="N178" s="68"/>
      <c r="O178" s="67"/>
      <c r="P178" s="53"/>
      <c r="Q178" s="51"/>
      <c r="S178" s="52"/>
      <c r="T178" s="52"/>
    </row>
    <row r="179" spans="1:20" ht="15.75">
      <c r="A179" s="43">
        <v>181</v>
      </c>
      <c r="B179" s="44"/>
      <c r="C179" s="44"/>
      <c r="D179" s="45"/>
      <c r="E179" s="46"/>
      <c r="F179" s="47"/>
      <c r="G179" s="44"/>
      <c r="H179" s="48"/>
      <c r="I179" s="48"/>
      <c r="J179" s="48"/>
      <c r="K179" s="49"/>
      <c r="L179" s="49"/>
      <c r="M179" s="49"/>
      <c r="N179" s="68"/>
      <c r="O179" s="67"/>
      <c r="P179" s="53"/>
      <c r="Q179" s="51"/>
      <c r="S179" s="52"/>
      <c r="T179" s="52"/>
    </row>
    <row r="180" spans="1:20" ht="15.75">
      <c r="A180" s="43">
        <v>182</v>
      </c>
      <c r="B180" s="44"/>
      <c r="C180" s="44"/>
      <c r="D180" s="45"/>
      <c r="E180" s="46"/>
      <c r="F180" s="47"/>
      <c r="G180" s="44"/>
      <c r="H180" s="48"/>
      <c r="I180" s="48"/>
      <c r="J180" s="48"/>
      <c r="K180" s="49"/>
      <c r="L180" s="49"/>
      <c r="M180" s="49"/>
      <c r="N180" s="68"/>
      <c r="O180" s="67"/>
      <c r="P180" s="53"/>
      <c r="Q180" s="51"/>
      <c r="S180" s="52"/>
      <c r="T180" s="52"/>
    </row>
    <row r="181" spans="1:20" ht="15.75">
      <c r="A181" s="43">
        <v>183</v>
      </c>
      <c r="B181" s="44"/>
      <c r="C181" s="44"/>
      <c r="D181" s="45"/>
      <c r="E181" s="46"/>
      <c r="F181" s="47"/>
      <c r="G181" s="44"/>
      <c r="H181" s="48"/>
      <c r="I181" s="48"/>
      <c r="J181" s="48"/>
      <c r="K181" s="49"/>
      <c r="L181" s="49"/>
      <c r="M181" s="49"/>
      <c r="N181" s="68"/>
      <c r="O181" s="67"/>
      <c r="P181" s="53"/>
      <c r="Q181" s="51"/>
      <c r="S181" s="52"/>
      <c r="T181" s="52"/>
    </row>
    <row r="182" spans="1:20" ht="15.75">
      <c r="A182" s="43">
        <v>184</v>
      </c>
      <c r="B182" s="44"/>
      <c r="C182" s="44"/>
      <c r="D182" s="45"/>
      <c r="E182" s="46"/>
      <c r="F182" s="47"/>
      <c r="G182" s="44"/>
      <c r="H182" s="48"/>
      <c r="I182" s="48"/>
      <c r="J182" s="48"/>
      <c r="K182" s="49"/>
      <c r="L182" s="49"/>
      <c r="M182" s="49"/>
      <c r="N182" s="68"/>
      <c r="O182" s="67"/>
      <c r="P182" s="53"/>
      <c r="Q182" s="51"/>
      <c r="S182" s="52"/>
      <c r="T182" s="52"/>
    </row>
    <row r="183" spans="1:20" ht="15.75">
      <c r="A183" s="43">
        <v>185</v>
      </c>
      <c r="B183" s="44"/>
      <c r="C183" s="44"/>
      <c r="D183" s="45"/>
      <c r="E183" s="46"/>
      <c r="F183" s="47"/>
      <c r="G183" s="44"/>
      <c r="H183" s="48"/>
      <c r="I183" s="48"/>
      <c r="J183" s="48"/>
      <c r="K183" s="49"/>
      <c r="L183" s="49"/>
      <c r="M183" s="49"/>
      <c r="N183" s="68"/>
      <c r="O183" s="67"/>
      <c r="P183" s="53"/>
      <c r="Q183" s="51"/>
      <c r="S183" s="52"/>
      <c r="T183" s="52"/>
    </row>
    <row r="184" spans="1:20" ht="15.75">
      <c r="A184" s="43">
        <v>186</v>
      </c>
      <c r="B184" s="44"/>
      <c r="C184" s="44"/>
      <c r="D184" s="45"/>
      <c r="E184" s="46"/>
      <c r="F184" s="47"/>
      <c r="G184" s="44"/>
      <c r="H184" s="48"/>
      <c r="I184" s="48"/>
      <c r="J184" s="48"/>
      <c r="K184" s="49"/>
      <c r="L184" s="49"/>
      <c r="M184" s="49"/>
      <c r="N184" s="68"/>
      <c r="O184" s="67"/>
      <c r="P184" s="53"/>
      <c r="Q184" s="51"/>
      <c r="S184" s="52"/>
      <c r="T184" s="52"/>
    </row>
    <row r="185" spans="1:20" ht="15.75">
      <c r="A185" s="43">
        <v>187</v>
      </c>
      <c r="B185" s="44"/>
      <c r="C185" s="44"/>
      <c r="D185" s="45"/>
      <c r="E185" s="46"/>
      <c r="F185" s="47"/>
      <c r="G185" s="44"/>
      <c r="H185" s="48"/>
      <c r="I185" s="48"/>
      <c r="J185" s="48"/>
      <c r="K185" s="49"/>
      <c r="L185" s="49"/>
      <c r="M185" s="49"/>
      <c r="N185" s="68"/>
      <c r="O185" s="67"/>
      <c r="P185" s="53"/>
      <c r="Q185" s="51"/>
      <c r="S185" s="52"/>
      <c r="T185" s="52"/>
    </row>
    <row r="186" spans="1:20" ht="15.75">
      <c r="A186" s="43">
        <v>188</v>
      </c>
      <c r="B186" s="44"/>
      <c r="C186" s="44"/>
      <c r="D186" s="45"/>
      <c r="E186" s="46"/>
      <c r="F186" s="47"/>
      <c r="G186" s="44"/>
      <c r="H186" s="48"/>
      <c r="I186" s="48"/>
      <c r="J186" s="48"/>
      <c r="K186" s="49"/>
      <c r="L186" s="49"/>
      <c r="M186" s="49"/>
      <c r="N186" s="68"/>
      <c r="O186" s="67"/>
      <c r="P186" s="53"/>
      <c r="Q186" s="51"/>
      <c r="S186" s="52"/>
      <c r="T186" s="52"/>
    </row>
    <row r="187" spans="1:20" ht="15.75">
      <c r="A187" s="43">
        <v>189</v>
      </c>
      <c r="B187" s="44"/>
      <c r="C187" s="44"/>
      <c r="D187" s="45"/>
      <c r="E187" s="46"/>
      <c r="F187" s="47"/>
      <c r="G187" s="44"/>
      <c r="H187" s="48"/>
      <c r="I187" s="48"/>
      <c r="J187" s="48"/>
      <c r="K187" s="49"/>
      <c r="L187" s="49"/>
      <c r="M187" s="49"/>
      <c r="N187" s="68"/>
      <c r="O187" s="67"/>
      <c r="P187" s="53"/>
      <c r="Q187" s="51"/>
      <c r="S187" s="52"/>
      <c r="T187" s="52"/>
    </row>
    <row r="188" spans="1:20" ht="15.75">
      <c r="A188" s="43">
        <v>190</v>
      </c>
      <c r="B188" s="44"/>
      <c r="C188" s="44"/>
      <c r="D188" s="45"/>
      <c r="E188" s="46"/>
      <c r="F188" s="47"/>
      <c r="G188" s="44"/>
      <c r="H188" s="48"/>
      <c r="I188" s="48"/>
      <c r="J188" s="48"/>
      <c r="K188" s="49"/>
      <c r="L188" s="49"/>
      <c r="M188" s="49"/>
      <c r="N188" s="68"/>
      <c r="O188" s="67"/>
      <c r="P188" s="53"/>
      <c r="Q188" s="51"/>
      <c r="S188" s="52"/>
      <c r="T188" s="52"/>
    </row>
    <row r="189" spans="1:20" ht="15.75">
      <c r="A189" s="43">
        <v>191</v>
      </c>
      <c r="B189" s="44"/>
      <c r="C189" s="44"/>
      <c r="D189" s="45"/>
      <c r="E189" s="46"/>
      <c r="F189" s="47"/>
      <c r="G189" s="44"/>
      <c r="H189" s="48"/>
      <c r="I189" s="48"/>
      <c r="J189" s="48"/>
      <c r="K189" s="49"/>
      <c r="L189" s="49"/>
      <c r="M189" s="49"/>
      <c r="N189" s="68"/>
      <c r="O189" s="67"/>
      <c r="P189" s="53"/>
      <c r="Q189" s="51"/>
      <c r="S189" s="52"/>
      <c r="T189" s="52"/>
    </row>
    <row r="190" spans="1:20" ht="15.75">
      <c r="A190" s="43">
        <v>192</v>
      </c>
      <c r="B190" s="44"/>
      <c r="C190" s="44"/>
      <c r="D190" s="45"/>
      <c r="E190" s="46"/>
      <c r="F190" s="47"/>
      <c r="G190" s="44"/>
      <c r="H190" s="48"/>
      <c r="I190" s="48"/>
      <c r="J190" s="48"/>
      <c r="K190" s="49"/>
      <c r="L190" s="49"/>
      <c r="M190" s="49"/>
      <c r="N190" s="68"/>
      <c r="O190" s="67"/>
      <c r="P190" s="53"/>
      <c r="Q190" s="51"/>
      <c r="S190" s="52"/>
      <c r="T190" s="52"/>
    </row>
    <row r="191" spans="1:20" ht="15.75">
      <c r="A191" s="43">
        <v>193</v>
      </c>
      <c r="B191" s="44"/>
      <c r="C191" s="44"/>
      <c r="D191" s="45"/>
      <c r="E191" s="46"/>
      <c r="F191" s="47"/>
      <c r="G191" s="44"/>
      <c r="H191" s="48"/>
      <c r="I191" s="48"/>
      <c r="J191" s="48"/>
      <c r="K191" s="49"/>
      <c r="L191" s="49"/>
      <c r="M191" s="49"/>
      <c r="N191" s="68"/>
      <c r="O191" s="67"/>
      <c r="P191" s="53"/>
      <c r="Q191" s="51"/>
      <c r="S191" s="52"/>
      <c r="T191" s="52"/>
    </row>
    <row r="192" spans="1:20" ht="15.75">
      <c r="A192" s="43">
        <v>194</v>
      </c>
      <c r="B192" s="44"/>
      <c r="C192" s="44"/>
      <c r="D192" s="45"/>
      <c r="E192" s="46"/>
      <c r="F192" s="47"/>
      <c r="G192" s="44"/>
      <c r="H192" s="48"/>
      <c r="I192" s="48"/>
      <c r="J192" s="48"/>
      <c r="K192" s="49"/>
      <c r="L192" s="49"/>
      <c r="M192" s="49"/>
      <c r="N192" s="68"/>
      <c r="O192" s="67"/>
      <c r="P192" s="53"/>
      <c r="Q192" s="51"/>
      <c r="S192" s="52"/>
      <c r="T192" s="52"/>
    </row>
    <row r="193" spans="1:20" ht="15.75">
      <c r="A193" s="43">
        <v>195</v>
      </c>
      <c r="B193" s="44"/>
      <c r="C193" s="44"/>
      <c r="D193" s="45"/>
      <c r="E193" s="46"/>
      <c r="F193" s="47"/>
      <c r="G193" s="44"/>
      <c r="H193" s="48"/>
      <c r="I193" s="48"/>
      <c r="J193" s="48"/>
      <c r="K193" s="49"/>
      <c r="L193" s="49"/>
      <c r="M193" s="49"/>
      <c r="N193" s="68"/>
      <c r="O193" s="67"/>
      <c r="P193" s="53"/>
      <c r="Q193" s="51"/>
      <c r="S193" s="52"/>
      <c r="T193" s="52"/>
    </row>
    <row r="194" spans="1:20" ht="15.75">
      <c r="A194" s="43">
        <v>196</v>
      </c>
      <c r="B194" s="44"/>
      <c r="C194" s="44"/>
      <c r="D194" s="45"/>
      <c r="E194" s="46"/>
      <c r="F194" s="47"/>
      <c r="G194" s="44"/>
      <c r="H194" s="48"/>
      <c r="I194" s="48"/>
      <c r="J194" s="48"/>
      <c r="K194" s="49"/>
      <c r="L194" s="49"/>
      <c r="M194" s="49"/>
      <c r="N194" s="68"/>
      <c r="O194" s="67"/>
      <c r="P194" s="53"/>
      <c r="Q194" s="51"/>
      <c r="S194" s="52"/>
      <c r="T194" s="52"/>
    </row>
    <row r="195" spans="1:20" ht="15.75">
      <c r="A195" s="43">
        <v>197</v>
      </c>
      <c r="B195" s="44"/>
      <c r="C195" s="44"/>
      <c r="D195" s="45"/>
      <c r="E195" s="46"/>
      <c r="F195" s="47"/>
      <c r="G195" s="44"/>
      <c r="H195" s="48"/>
      <c r="I195" s="48"/>
      <c r="J195" s="48"/>
      <c r="K195" s="49"/>
      <c r="L195" s="49"/>
      <c r="M195" s="49"/>
      <c r="N195" s="68"/>
      <c r="O195" s="67"/>
      <c r="P195" s="53"/>
      <c r="Q195" s="51"/>
      <c r="S195" s="52"/>
      <c r="T195" s="52"/>
    </row>
    <row r="196" spans="1:20" ht="15.75">
      <c r="A196" s="43">
        <v>198</v>
      </c>
      <c r="B196" s="44"/>
      <c r="C196" s="44"/>
      <c r="D196" s="45"/>
      <c r="E196" s="46"/>
      <c r="F196" s="47"/>
      <c r="G196" s="44"/>
      <c r="H196" s="48"/>
      <c r="I196" s="48"/>
      <c r="J196" s="48"/>
      <c r="K196" s="49"/>
      <c r="L196" s="49"/>
      <c r="M196" s="49"/>
      <c r="N196" s="68"/>
      <c r="O196" s="67"/>
      <c r="P196" s="53"/>
      <c r="Q196" s="51"/>
      <c r="S196" s="52"/>
      <c r="T196" s="52"/>
    </row>
    <row r="197" spans="1:20" ht="15.75">
      <c r="A197" s="43">
        <v>199</v>
      </c>
      <c r="B197" s="44"/>
      <c r="C197" s="44"/>
      <c r="D197" s="45"/>
      <c r="E197" s="46"/>
      <c r="F197" s="47"/>
      <c r="G197" s="44"/>
      <c r="H197" s="48"/>
      <c r="I197" s="48"/>
      <c r="J197" s="48"/>
      <c r="K197" s="49"/>
      <c r="L197" s="49"/>
      <c r="M197" s="49"/>
      <c r="N197" s="68"/>
      <c r="O197" s="67"/>
      <c r="P197" s="53"/>
      <c r="Q197" s="51"/>
      <c r="S197" s="52"/>
      <c r="T197" s="52"/>
    </row>
    <row r="198" spans="1:20" ht="15.75">
      <c r="A198" s="43">
        <v>200</v>
      </c>
      <c r="B198" s="44"/>
      <c r="C198" s="44"/>
      <c r="D198" s="45"/>
      <c r="E198" s="46"/>
      <c r="F198" s="47"/>
      <c r="G198" s="44"/>
      <c r="H198" s="48"/>
      <c r="I198" s="48"/>
      <c r="J198" s="48"/>
      <c r="K198" s="49"/>
      <c r="L198" s="49"/>
      <c r="M198" s="49"/>
      <c r="N198" s="68"/>
      <c r="O198" s="67"/>
      <c r="P198" s="53"/>
      <c r="Q198" s="51"/>
      <c r="S198" s="52"/>
      <c r="T198" s="52"/>
    </row>
    <row r="199" spans="1:20" ht="15.75">
      <c r="A199" s="43">
        <v>201</v>
      </c>
      <c r="B199" s="44"/>
      <c r="C199" s="44"/>
      <c r="D199" s="45"/>
      <c r="E199" s="46"/>
      <c r="F199" s="47"/>
      <c r="G199" s="44"/>
      <c r="H199" s="48"/>
      <c r="I199" s="48"/>
      <c r="J199" s="48"/>
      <c r="K199" s="49"/>
      <c r="L199" s="49"/>
      <c r="M199" s="49"/>
      <c r="N199" s="68"/>
      <c r="O199" s="67"/>
      <c r="P199" s="53"/>
      <c r="Q199" s="51"/>
      <c r="S199" s="52"/>
      <c r="T199" s="52"/>
    </row>
    <row r="200" spans="1:20" ht="15.75">
      <c r="A200" s="43">
        <v>202</v>
      </c>
      <c r="B200" s="44"/>
      <c r="C200" s="44"/>
      <c r="D200" s="45"/>
      <c r="E200" s="46"/>
      <c r="F200" s="47"/>
      <c r="G200" s="44"/>
      <c r="H200" s="48"/>
      <c r="I200" s="48"/>
      <c r="J200" s="48"/>
      <c r="K200" s="49"/>
      <c r="L200" s="49"/>
      <c r="M200" s="49"/>
      <c r="N200" s="68"/>
      <c r="O200" s="67"/>
      <c r="P200" s="53"/>
      <c r="Q200" s="51"/>
      <c r="S200" s="52"/>
      <c r="T200" s="52"/>
    </row>
    <row r="201" spans="1:20" ht="15.75">
      <c r="A201" s="43">
        <v>203</v>
      </c>
      <c r="B201" s="44"/>
      <c r="C201" s="44"/>
      <c r="D201" s="45"/>
      <c r="E201" s="46"/>
      <c r="F201" s="47"/>
      <c r="G201" s="44"/>
      <c r="H201" s="48"/>
      <c r="I201" s="48"/>
      <c r="J201" s="48"/>
      <c r="K201" s="49"/>
      <c r="L201" s="49"/>
      <c r="M201" s="49"/>
      <c r="N201" s="68"/>
      <c r="O201" s="67"/>
      <c r="P201" s="53"/>
      <c r="Q201" s="51"/>
      <c r="S201" s="52"/>
      <c r="T201" s="52"/>
    </row>
    <row r="202" spans="1:20" ht="15.75">
      <c r="A202" s="43">
        <v>204</v>
      </c>
      <c r="B202" s="44"/>
      <c r="C202" s="44"/>
      <c r="D202" s="45"/>
      <c r="E202" s="46"/>
      <c r="F202" s="47"/>
      <c r="G202" s="44"/>
      <c r="H202" s="48"/>
      <c r="I202" s="48"/>
      <c r="J202" s="48"/>
      <c r="K202" s="49"/>
      <c r="L202" s="49"/>
      <c r="M202" s="49"/>
      <c r="N202" s="68"/>
      <c r="O202" s="67"/>
      <c r="P202" s="53"/>
      <c r="Q202" s="51"/>
      <c r="S202" s="52"/>
      <c r="T202" s="52"/>
    </row>
    <row r="203" spans="1:20" ht="15.75">
      <c r="A203" s="43">
        <v>205</v>
      </c>
      <c r="B203" s="44"/>
      <c r="C203" s="44"/>
      <c r="D203" s="45"/>
      <c r="E203" s="46"/>
      <c r="F203" s="47"/>
      <c r="G203" s="44"/>
      <c r="H203" s="48"/>
      <c r="I203" s="48"/>
      <c r="J203" s="48"/>
      <c r="K203" s="49"/>
      <c r="L203" s="49"/>
      <c r="M203" s="49"/>
      <c r="N203" s="68"/>
      <c r="O203" s="67"/>
      <c r="P203" s="53"/>
      <c r="Q203" s="51"/>
      <c r="S203" s="52"/>
      <c r="T203" s="52"/>
    </row>
    <row r="204" spans="1:20" ht="15.75">
      <c r="A204" s="43">
        <v>206</v>
      </c>
      <c r="B204" s="44"/>
      <c r="C204" s="44"/>
      <c r="D204" s="45"/>
      <c r="E204" s="46"/>
      <c r="F204" s="47"/>
      <c r="G204" s="44"/>
      <c r="H204" s="48"/>
      <c r="I204" s="48"/>
      <c r="J204" s="48"/>
      <c r="K204" s="49"/>
      <c r="L204" s="49"/>
      <c r="M204" s="49"/>
      <c r="N204" s="68"/>
      <c r="O204" s="67"/>
      <c r="P204" s="53"/>
      <c r="Q204" s="51"/>
      <c r="S204" s="52"/>
      <c r="T204" s="52"/>
    </row>
    <row r="205" spans="1:20" ht="15.75">
      <c r="A205" s="43">
        <v>207</v>
      </c>
      <c r="B205" s="44"/>
      <c r="C205" s="44"/>
      <c r="D205" s="45"/>
      <c r="E205" s="46"/>
      <c r="F205" s="47"/>
      <c r="G205" s="44"/>
      <c r="H205" s="48"/>
      <c r="I205" s="48"/>
      <c r="J205" s="48"/>
      <c r="K205" s="49"/>
      <c r="L205" s="49"/>
      <c r="M205" s="49"/>
      <c r="N205" s="68"/>
      <c r="O205" s="67"/>
      <c r="P205" s="53"/>
      <c r="Q205" s="51"/>
      <c r="S205" s="52"/>
      <c r="T205" s="52"/>
    </row>
    <row r="206" spans="1:20" ht="15.75">
      <c r="A206" s="43">
        <v>208</v>
      </c>
      <c r="B206" s="44"/>
      <c r="C206" s="44"/>
      <c r="D206" s="45"/>
      <c r="E206" s="46"/>
      <c r="F206" s="47"/>
      <c r="G206" s="44"/>
      <c r="H206" s="48"/>
      <c r="I206" s="48"/>
      <c r="J206" s="48"/>
      <c r="K206" s="49"/>
      <c r="L206" s="49"/>
      <c r="M206" s="49"/>
      <c r="N206" s="68"/>
      <c r="O206" s="67"/>
      <c r="P206" s="53"/>
      <c r="Q206" s="51"/>
      <c r="S206" s="52"/>
      <c r="T206" s="52"/>
    </row>
    <row r="207" spans="1:20" ht="15.75">
      <c r="A207" s="43">
        <v>209</v>
      </c>
      <c r="B207" s="44"/>
      <c r="C207" s="44"/>
      <c r="D207" s="45"/>
      <c r="E207" s="46"/>
      <c r="F207" s="47"/>
      <c r="G207" s="44"/>
      <c r="H207" s="48"/>
      <c r="I207" s="48"/>
      <c r="J207" s="48"/>
      <c r="K207" s="49"/>
      <c r="L207" s="49"/>
      <c r="M207" s="49"/>
      <c r="N207" s="68"/>
      <c r="O207" s="67"/>
      <c r="P207" s="53"/>
      <c r="Q207" s="51"/>
      <c r="S207" s="52"/>
      <c r="T207" s="52"/>
    </row>
    <row r="208" spans="1:20" ht="15.75">
      <c r="A208" s="43">
        <v>210</v>
      </c>
      <c r="B208" s="44"/>
      <c r="C208" s="44"/>
      <c r="D208" s="45"/>
      <c r="E208" s="46"/>
      <c r="F208" s="47"/>
      <c r="G208" s="44"/>
      <c r="H208" s="48"/>
      <c r="I208" s="48"/>
      <c r="J208" s="48"/>
      <c r="K208" s="49"/>
      <c r="L208" s="49"/>
      <c r="M208" s="49"/>
      <c r="N208" s="68"/>
      <c r="O208" s="67"/>
      <c r="P208" s="53"/>
      <c r="Q208" s="51"/>
      <c r="S208" s="52"/>
      <c r="T208" s="52"/>
    </row>
    <row r="209" spans="1:20" ht="15.75">
      <c r="A209" s="43">
        <v>211</v>
      </c>
      <c r="B209" s="44"/>
      <c r="C209" s="44"/>
      <c r="D209" s="45"/>
      <c r="E209" s="46"/>
      <c r="F209" s="47"/>
      <c r="G209" s="44"/>
      <c r="H209" s="48"/>
      <c r="I209" s="48"/>
      <c r="J209" s="48"/>
      <c r="K209" s="49"/>
      <c r="L209" s="49"/>
      <c r="M209" s="49"/>
      <c r="N209" s="68"/>
      <c r="O209" s="67"/>
      <c r="P209" s="53"/>
      <c r="Q209" s="51"/>
      <c r="S209" s="52"/>
      <c r="T209" s="52"/>
    </row>
    <row r="210" spans="1:20" ht="15.75">
      <c r="A210" s="43">
        <v>212</v>
      </c>
      <c r="B210" s="44"/>
      <c r="C210" s="44"/>
      <c r="D210" s="45"/>
      <c r="E210" s="46"/>
      <c r="F210" s="47"/>
      <c r="G210" s="44"/>
      <c r="H210" s="48"/>
      <c r="I210" s="48"/>
      <c r="J210" s="48"/>
      <c r="K210" s="49"/>
      <c r="L210" s="49"/>
      <c r="M210" s="49"/>
      <c r="N210" s="68"/>
      <c r="O210" s="67"/>
      <c r="P210" s="53"/>
      <c r="Q210" s="51"/>
      <c r="S210" s="52"/>
      <c r="T210" s="52"/>
    </row>
    <row r="211" spans="1:20" ht="15.75">
      <c r="A211" s="43">
        <v>213</v>
      </c>
      <c r="B211" s="44"/>
      <c r="C211" s="44"/>
      <c r="D211" s="45"/>
      <c r="E211" s="46"/>
      <c r="F211" s="47"/>
      <c r="G211" s="44"/>
      <c r="H211" s="48"/>
      <c r="I211" s="48"/>
      <c r="J211" s="48"/>
      <c r="K211" s="49"/>
      <c r="L211" s="49"/>
      <c r="M211" s="49"/>
      <c r="N211" s="68"/>
      <c r="O211" s="67"/>
      <c r="P211" s="53"/>
      <c r="Q211" s="51"/>
      <c r="S211" s="52"/>
      <c r="T211" s="52"/>
    </row>
    <row r="212" spans="1:20" ht="15.75">
      <c r="A212" s="43">
        <v>214</v>
      </c>
      <c r="B212" s="44"/>
      <c r="C212" s="44"/>
      <c r="D212" s="45"/>
      <c r="E212" s="46"/>
      <c r="F212" s="47"/>
      <c r="G212" s="44"/>
      <c r="H212" s="48"/>
      <c r="I212" s="48"/>
      <c r="J212" s="48"/>
      <c r="K212" s="49"/>
      <c r="L212" s="49"/>
      <c r="M212" s="49"/>
      <c r="N212" s="68"/>
      <c r="O212" s="67"/>
      <c r="P212" s="53"/>
      <c r="Q212" s="51"/>
      <c r="S212" s="52"/>
      <c r="T212" s="52"/>
    </row>
    <row r="213" spans="1:20" ht="15.75">
      <c r="A213" s="43">
        <v>215</v>
      </c>
      <c r="B213" s="44"/>
      <c r="C213" s="44"/>
      <c r="D213" s="45"/>
      <c r="E213" s="46"/>
      <c r="F213" s="47"/>
      <c r="G213" s="44"/>
      <c r="H213" s="48"/>
      <c r="I213" s="48"/>
      <c r="J213" s="48"/>
      <c r="K213" s="49"/>
      <c r="L213" s="49"/>
      <c r="M213" s="49"/>
      <c r="N213" s="68"/>
      <c r="O213" s="67"/>
      <c r="P213" s="53"/>
      <c r="Q213" s="51"/>
      <c r="S213" s="52"/>
      <c r="T213" s="52"/>
    </row>
    <row r="214" spans="1:20" ht="15.75">
      <c r="A214" s="43">
        <v>216</v>
      </c>
      <c r="B214" s="44"/>
      <c r="C214" s="44"/>
      <c r="D214" s="45"/>
      <c r="E214" s="46"/>
      <c r="F214" s="47"/>
      <c r="G214" s="44"/>
      <c r="H214" s="48"/>
      <c r="I214" s="48"/>
      <c r="J214" s="48"/>
      <c r="K214" s="49"/>
      <c r="L214" s="49"/>
      <c r="M214" s="49"/>
      <c r="N214" s="68"/>
      <c r="O214" s="67"/>
      <c r="P214" s="53"/>
      <c r="Q214" s="51"/>
      <c r="S214" s="52"/>
      <c r="T214" s="52"/>
    </row>
    <row r="215" spans="1:20" ht="15.75">
      <c r="A215" s="43">
        <v>217</v>
      </c>
      <c r="B215" s="44"/>
      <c r="C215" s="44"/>
      <c r="D215" s="45"/>
      <c r="E215" s="46"/>
      <c r="F215" s="47"/>
      <c r="G215" s="44"/>
      <c r="H215" s="48"/>
      <c r="I215" s="48"/>
      <c r="J215" s="48"/>
      <c r="K215" s="49"/>
      <c r="L215" s="49"/>
      <c r="M215" s="49"/>
      <c r="N215" s="68"/>
      <c r="O215" s="67"/>
      <c r="P215" s="53"/>
      <c r="Q215" s="51"/>
      <c r="S215" s="52"/>
      <c r="T215" s="52"/>
    </row>
    <row r="216" spans="1:20" ht="15.75">
      <c r="A216" s="43">
        <v>218</v>
      </c>
      <c r="B216" s="44"/>
      <c r="C216" s="44"/>
      <c r="D216" s="45"/>
      <c r="E216" s="46"/>
      <c r="F216" s="47"/>
      <c r="G216" s="44"/>
      <c r="H216" s="48"/>
      <c r="I216" s="48"/>
      <c r="J216" s="48"/>
      <c r="K216" s="49"/>
      <c r="L216" s="49"/>
      <c r="M216" s="49"/>
      <c r="N216" s="68"/>
      <c r="O216" s="67"/>
      <c r="P216" s="53"/>
      <c r="Q216" s="51"/>
      <c r="S216" s="52"/>
      <c r="T216" s="52"/>
    </row>
    <row r="217" spans="1:20" ht="15.75">
      <c r="A217" s="43">
        <v>219</v>
      </c>
      <c r="B217" s="44"/>
      <c r="C217" s="44"/>
      <c r="D217" s="45"/>
      <c r="E217" s="46"/>
      <c r="F217" s="47"/>
      <c r="G217" s="44"/>
      <c r="H217" s="48"/>
      <c r="I217" s="48"/>
      <c r="J217" s="48"/>
      <c r="K217" s="49"/>
      <c r="L217" s="49"/>
      <c r="M217" s="49"/>
      <c r="N217" s="68"/>
      <c r="O217" s="67"/>
      <c r="P217" s="53"/>
      <c r="Q217" s="51"/>
      <c r="S217" s="52"/>
      <c r="T217" s="52"/>
    </row>
    <row r="218" spans="1:20" ht="15.75">
      <c r="A218" s="43">
        <v>220</v>
      </c>
      <c r="B218" s="44"/>
      <c r="C218" s="44"/>
      <c r="D218" s="45"/>
      <c r="E218" s="46"/>
      <c r="F218" s="47"/>
      <c r="G218" s="44"/>
      <c r="H218" s="48"/>
      <c r="I218" s="48"/>
      <c r="J218" s="48"/>
      <c r="K218" s="49"/>
      <c r="L218" s="49"/>
      <c r="M218" s="49"/>
      <c r="N218" s="68"/>
      <c r="O218" s="67"/>
      <c r="P218" s="53"/>
      <c r="Q218" s="51"/>
      <c r="S218" s="52"/>
      <c r="T218" s="52"/>
    </row>
    <row r="219" spans="1:20" ht="15.75">
      <c r="A219" s="43">
        <v>221</v>
      </c>
      <c r="B219" s="44"/>
      <c r="C219" s="44"/>
      <c r="D219" s="45"/>
      <c r="E219" s="46"/>
      <c r="F219" s="47"/>
      <c r="G219" s="44"/>
      <c r="H219" s="48"/>
      <c r="I219" s="48"/>
      <c r="J219" s="48"/>
      <c r="K219" s="49"/>
      <c r="L219" s="49"/>
      <c r="M219" s="49"/>
      <c r="N219" s="68"/>
      <c r="O219" s="67"/>
      <c r="P219" s="53"/>
      <c r="Q219" s="51"/>
      <c r="S219" s="52"/>
      <c r="T219" s="52"/>
    </row>
    <row r="220" spans="1:20" ht="15.75">
      <c r="A220" s="43">
        <v>222</v>
      </c>
      <c r="B220" s="44"/>
      <c r="C220" s="44"/>
      <c r="D220" s="45"/>
      <c r="E220" s="46"/>
      <c r="F220" s="47"/>
      <c r="G220" s="44"/>
      <c r="H220" s="48"/>
      <c r="I220" s="48"/>
      <c r="J220" s="48"/>
      <c r="K220" s="49"/>
      <c r="L220" s="49"/>
      <c r="M220" s="49"/>
      <c r="N220" s="68"/>
      <c r="O220" s="67"/>
      <c r="P220" s="53"/>
      <c r="Q220" s="51"/>
      <c r="S220" s="52"/>
      <c r="T220" s="52"/>
    </row>
    <row r="221" spans="1:20" ht="15.75">
      <c r="A221" s="43">
        <v>223</v>
      </c>
      <c r="B221" s="44"/>
      <c r="C221" s="44"/>
      <c r="D221" s="45"/>
      <c r="E221" s="46"/>
      <c r="F221" s="47"/>
      <c r="G221" s="44"/>
      <c r="H221" s="48"/>
      <c r="I221" s="48"/>
      <c r="J221" s="48"/>
      <c r="K221" s="49"/>
      <c r="L221" s="49"/>
      <c r="M221" s="49"/>
      <c r="N221" s="68"/>
      <c r="O221" s="67"/>
      <c r="P221" s="53"/>
      <c r="Q221" s="51"/>
      <c r="S221" s="52"/>
      <c r="T221" s="52"/>
    </row>
    <row r="222" spans="1:20" ht="15.75">
      <c r="A222" s="43">
        <v>224</v>
      </c>
      <c r="B222" s="44"/>
      <c r="C222" s="44"/>
      <c r="D222" s="45"/>
      <c r="E222" s="46"/>
      <c r="F222" s="47"/>
      <c r="G222" s="44"/>
      <c r="H222" s="48"/>
      <c r="I222" s="48"/>
      <c r="J222" s="48"/>
      <c r="K222" s="49"/>
      <c r="L222" s="49"/>
      <c r="M222" s="49"/>
      <c r="N222" s="68"/>
      <c r="O222" s="67"/>
      <c r="P222" s="53"/>
      <c r="Q222" s="51"/>
      <c r="S222" s="52"/>
      <c r="T222" s="52"/>
    </row>
    <row r="223" spans="1:20" ht="15.75">
      <c r="A223" s="43">
        <v>225</v>
      </c>
      <c r="B223" s="44"/>
      <c r="C223" s="44"/>
      <c r="D223" s="45"/>
      <c r="E223" s="46"/>
      <c r="F223" s="47"/>
      <c r="G223" s="44"/>
      <c r="H223" s="48"/>
      <c r="I223" s="48"/>
      <c r="J223" s="48"/>
      <c r="K223" s="49"/>
      <c r="L223" s="49"/>
      <c r="M223" s="49"/>
      <c r="N223" s="68"/>
      <c r="O223" s="67"/>
      <c r="P223" s="53"/>
      <c r="Q223" s="51"/>
      <c r="S223" s="52"/>
      <c r="T223" s="52"/>
    </row>
    <row r="224" spans="1:20" ht="15.75">
      <c r="A224" s="43">
        <v>226</v>
      </c>
      <c r="B224" s="44"/>
      <c r="C224" s="44"/>
      <c r="D224" s="45"/>
      <c r="E224" s="46"/>
      <c r="F224" s="47"/>
      <c r="G224" s="44"/>
      <c r="H224" s="48"/>
      <c r="I224" s="48"/>
      <c r="J224" s="48"/>
      <c r="K224" s="49"/>
      <c r="L224" s="49"/>
      <c r="M224" s="49"/>
      <c r="N224" s="68"/>
      <c r="O224" s="67"/>
      <c r="P224" s="53"/>
      <c r="Q224" s="51"/>
      <c r="S224" s="52"/>
      <c r="T224" s="52"/>
    </row>
    <row r="225" spans="1:20" ht="15.75">
      <c r="A225" s="43">
        <v>227</v>
      </c>
      <c r="B225" s="44"/>
      <c r="C225" s="44"/>
      <c r="D225" s="45"/>
      <c r="E225" s="46"/>
      <c r="F225" s="47"/>
      <c r="G225" s="44"/>
      <c r="H225" s="48"/>
      <c r="I225" s="48"/>
      <c r="J225" s="48"/>
      <c r="K225" s="49"/>
      <c r="L225" s="49"/>
      <c r="M225" s="49"/>
      <c r="N225" s="68"/>
      <c r="O225" s="67"/>
      <c r="P225" s="53"/>
      <c r="Q225" s="51"/>
      <c r="S225" s="52"/>
      <c r="T225" s="52"/>
    </row>
    <row r="226" spans="1:20" ht="15.75">
      <c r="A226" s="43">
        <v>228</v>
      </c>
      <c r="B226" s="44"/>
      <c r="C226" s="44"/>
      <c r="D226" s="45"/>
      <c r="E226" s="46"/>
      <c r="F226" s="47"/>
      <c r="G226" s="44"/>
      <c r="H226" s="48"/>
      <c r="I226" s="48"/>
      <c r="J226" s="48"/>
      <c r="K226" s="49"/>
      <c r="L226" s="49"/>
      <c r="M226" s="49"/>
      <c r="N226" s="68"/>
      <c r="O226" s="67"/>
      <c r="P226" s="53"/>
      <c r="Q226" s="51"/>
      <c r="S226" s="52"/>
      <c r="T226" s="52"/>
    </row>
    <row r="227" spans="1:20" ht="15.75">
      <c r="A227" s="43">
        <v>229</v>
      </c>
      <c r="B227" s="44"/>
      <c r="C227" s="44"/>
      <c r="D227" s="45"/>
      <c r="E227" s="46"/>
      <c r="F227" s="47"/>
      <c r="G227" s="44"/>
      <c r="H227" s="48"/>
      <c r="I227" s="48"/>
      <c r="J227" s="48"/>
      <c r="K227" s="49"/>
      <c r="L227" s="49"/>
      <c r="M227" s="49"/>
      <c r="N227" s="68"/>
      <c r="O227" s="67"/>
      <c r="P227" s="53"/>
      <c r="Q227" s="51"/>
      <c r="S227" s="52"/>
      <c r="T227" s="52"/>
    </row>
    <row r="228" spans="1:20" ht="15.75">
      <c r="A228" s="43">
        <v>230</v>
      </c>
      <c r="B228" s="44"/>
      <c r="C228" s="44"/>
      <c r="D228" s="45"/>
      <c r="E228" s="46"/>
      <c r="F228" s="47"/>
      <c r="G228" s="44"/>
      <c r="H228" s="48"/>
      <c r="I228" s="48"/>
      <c r="J228" s="48"/>
      <c r="K228" s="49"/>
      <c r="L228" s="49"/>
      <c r="M228" s="49"/>
      <c r="N228" s="68"/>
      <c r="O228" s="67"/>
      <c r="P228" s="53"/>
      <c r="Q228" s="51"/>
      <c r="S228" s="52"/>
      <c r="T228" s="52"/>
    </row>
    <row r="229" spans="1:20" ht="15.75">
      <c r="A229" s="43">
        <v>231</v>
      </c>
      <c r="B229" s="44"/>
      <c r="C229" s="44"/>
      <c r="D229" s="45"/>
      <c r="E229" s="46"/>
      <c r="F229" s="47"/>
      <c r="G229" s="44"/>
      <c r="H229" s="48"/>
      <c r="I229" s="48"/>
      <c r="J229" s="48"/>
      <c r="K229" s="49"/>
      <c r="L229" s="49"/>
      <c r="M229" s="49"/>
      <c r="N229" s="68"/>
      <c r="O229" s="67"/>
      <c r="P229" s="53"/>
      <c r="Q229" s="51"/>
      <c r="S229" s="52"/>
      <c r="T229" s="52"/>
    </row>
    <row r="230" spans="1:20" ht="15.75">
      <c r="A230" s="43">
        <v>232</v>
      </c>
      <c r="B230" s="44"/>
      <c r="C230" s="44"/>
      <c r="D230" s="45"/>
      <c r="E230" s="46"/>
      <c r="F230" s="47"/>
      <c r="G230" s="44"/>
      <c r="H230" s="48"/>
      <c r="I230" s="48"/>
      <c r="J230" s="48"/>
      <c r="K230" s="49"/>
      <c r="L230" s="49"/>
      <c r="M230" s="49"/>
      <c r="N230" s="68"/>
      <c r="O230" s="67"/>
      <c r="P230" s="53"/>
      <c r="Q230" s="51"/>
      <c r="S230" s="52"/>
      <c r="T230" s="52"/>
    </row>
    <row r="231" spans="1:20" ht="15.75">
      <c r="A231" s="43">
        <v>233</v>
      </c>
      <c r="B231" s="44"/>
      <c r="C231" s="44"/>
      <c r="D231" s="45"/>
      <c r="E231" s="46"/>
      <c r="F231" s="47"/>
      <c r="G231" s="44"/>
      <c r="H231" s="48"/>
      <c r="I231" s="48"/>
      <c r="J231" s="48"/>
      <c r="K231" s="49"/>
      <c r="L231" s="49"/>
      <c r="M231" s="49"/>
      <c r="N231" s="68"/>
      <c r="O231" s="67"/>
      <c r="P231" s="53"/>
      <c r="Q231" s="51"/>
      <c r="S231" s="52"/>
      <c r="T231" s="52"/>
    </row>
    <row r="232" spans="1:20" ht="15.75">
      <c r="A232" s="43">
        <v>234</v>
      </c>
      <c r="B232" s="44"/>
      <c r="C232" s="44"/>
      <c r="D232" s="45"/>
      <c r="E232" s="46"/>
      <c r="F232" s="47"/>
      <c r="G232" s="44"/>
      <c r="H232" s="48"/>
      <c r="I232" s="48"/>
      <c r="J232" s="48"/>
      <c r="K232" s="49"/>
      <c r="L232" s="49"/>
      <c r="M232" s="49"/>
      <c r="N232" s="68"/>
      <c r="O232" s="67"/>
      <c r="P232" s="53"/>
      <c r="Q232" s="51"/>
      <c r="S232" s="52"/>
      <c r="T232" s="52"/>
    </row>
    <row r="233" spans="1:20" ht="15.75">
      <c r="A233" s="43">
        <v>235</v>
      </c>
      <c r="B233" s="44"/>
      <c r="C233" s="44"/>
      <c r="D233" s="45"/>
      <c r="E233" s="46"/>
      <c r="F233" s="47"/>
      <c r="G233" s="44"/>
      <c r="H233" s="48"/>
      <c r="I233" s="48"/>
      <c r="J233" s="48"/>
      <c r="K233" s="49"/>
      <c r="L233" s="49"/>
      <c r="M233" s="49"/>
      <c r="N233" s="68"/>
      <c r="O233" s="67"/>
      <c r="P233" s="53"/>
      <c r="Q233" s="51"/>
      <c r="S233" s="52"/>
      <c r="T233" s="52"/>
    </row>
    <row r="234" spans="1:20" ht="15.75">
      <c r="A234" s="43">
        <v>236</v>
      </c>
      <c r="B234" s="44"/>
      <c r="C234" s="44"/>
      <c r="D234" s="45"/>
      <c r="E234" s="46"/>
      <c r="F234" s="47"/>
      <c r="G234" s="44"/>
      <c r="H234" s="48"/>
      <c r="I234" s="48"/>
      <c r="J234" s="48"/>
      <c r="K234" s="49"/>
      <c r="L234" s="49"/>
      <c r="M234" s="49"/>
      <c r="N234" s="68"/>
      <c r="O234" s="67"/>
      <c r="P234" s="53"/>
      <c r="Q234" s="51"/>
      <c r="S234" s="52"/>
      <c r="T234" s="52"/>
    </row>
    <row r="235" spans="1:20" ht="15.75">
      <c r="A235" s="43">
        <v>237</v>
      </c>
      <c r="B235" s="44"/>
      <c r="C235" s="44"/>
      <c r="D235" s="45"/>
      <c r="E235" s="46"/>
      <c r="F235" s="47"/>
      <c r="G235" s="44"/>
      <c r="H235" s="48"/>
      <c r="I235" s="48"/>
      <c r="J235" s="48"/>
      <c r="K235" s="49"/>
      <c r="L235" s="49"/>
      <c r="M235" s="49"/>
      <c r="N235" s="68"/>
      <c r="O235" s="67"/>
      <c r="P235" s="53"/>
      <c r="Q235" s="51"/>
      <c r="S235" s="52"/>
      <c r="T235" s="52"/>
    </row>
    <row r="236" spans="1:20" ht="15.75">
      <c r="A236" s="43">
        <v>238</v>
      </c>
      <c r="B236" s="44"/>
      <c r="C236" s="44"/>
      <c r="D236" s="45"/>
      <c r="E236" s="46"/>
      <c r="F236" s="47"/>
      <c r="G236" s="44"/>
      <c r="H236" s="48"/>
      <c r="I236" s="48"/>
      <c r="J236" s="48"/>
      <c r="K236" s="49"/>
      <c r="L236" s="49"/>
      <c r="M236" s="49"/>
      <c r="N236" s="68"/>
      <c r="O236" s="67"/>
      <c r="P236" s="53"/>
      <c r="Q236" s="51"/>
      <c r="S236" s="52"/>
      <c r="T236" s="52"/>
    </row>
    <row r="237" spans="1:20" ht="15.75">
      <c r="A237" s="43">
        <v>239</v>
      </c>
      <c r="B237" s="44"/>
      <c r="C237" s="44"/>
      <c r="D237" s="45"/>
      <c r="E237" s="46"/>
      <c r="F237" s="47"/>
      <c r="G237" s="44"/>
      <c r="H237" s="48"/>
      <c r="I237" s="48"/>
      <c r="J237" s="48"/>
      <c r="K237" s="49"/>
      <c r="L237" s="49"/>
      <c r="M237" s="49"/>
      <c r="N237" s="68"/>
      <c r="O237" s="67"/>
      <c r="P237" s="53"/>
      <c r="Q237" s="51"/>
      <c r="S237" s="52"/>
      <c r="T237" s="52"/>
    </row>
    <row r="238" spans="1:20" ht="15.75">
      <c r="A238" s="43">
        <v>240</v>
      </c>
      <c r="B238" s="44"/>
      <c r="C238" s="44"/>
      <c r="D238" s="45"/>
      <c r="E238" s="46"/>
      <c r="F238" s="47"/>
      <c r="G238" s="44"/>
      <c r="H238" s="48"/>
      <c r="I238" s="48"/>
      <c r="J238" s="48"/>
      <c r="K238" s="49"/>
      <c r="L238" s="49"/>
      <c r="M238" s="49"/>
      <c r="N238" s="68"/>
      <c r="O238" s="67"/>
      <c r="P238" s="53"/>
      <c r="Q238" s="51"/>
      <c r="S238" s="52"/>
      <c r="T238" s="52"/>
    </row>
    <row r="239" spans="1:20" ht="15.75">
      <c r="A239" s="43">
        <v>241</v>
      </c>
      <c r="B239" s="44"/>
      <c r="C239" s="44"/>
      <c r="D239" s="45"/>
      <c r="E239" s="46"/>
      <c r="F239" s="47"/>
      <c r="G239" s="44"/>
      <c r="H239" s="48"/>
      <c r="I239" s="48"/>
      <c r="J239" s="48"/>
      <c r="K239" s="49"/>
      <c r="L239" s="49"/>
      <c r="M239" s="49"/>
      <c r="N239" s="68"/>
      <c r="O239" s="67"/>
      <c r="P239" s="53"/>
      <c r="Q239" s="51"/>
      <c r="S239" s="52"/>
      <c r="T239" s="52"/>
    </row>
    <row r="240" spans="1:20" ht="15.75">
      <c r="A240" s="43">
        <v>242</v>
      </c>
      <c r="B240" s="44"/>
      <c r="C240" s="44"/>
      <c r="D240" s="45"/>
      <c r="E240" s="46"/>
      <c r="F240" s="47"/>
      <c r="G240" s="44"/>
      <c r="H240" s="48"/>
      <c r="I240" s="48"/>
      <c r="J240" s="48"/>
      <c r="K240" s="49"/>
      <c r="L240" s="49"/>
      <c r="M240" s="49"/>
      <c r="N240" s="68"/>
      <c r="O240" s="67"/>
      <c r="P240" s="53"/>
      <c r="Q240" s="51"/>
      <c r="S240" s="52"/>
      <c r="T240" s="52"/>
    </row>
    <row r="241" spans="1:20" ht="15.75">
      <c r="A241" s="43">
        <v>243</v>
      </c>
      <c r="B241" s="44"/>
      <c r="C241" s="44"/>
      <c r="D241" s="45"/>
      <c r="E241" s="46"/>
      <c r="F241" s="47"/>
      <c r="G241" s="44"/>
      <c r="H241" s="48"/>
      <c r="I241" s="48"/>
      <c r="J241" s="48"/>
      <c r="K241" s="49"/>
      <c r="L241" s="49"/>
      <c r="M241" s="49"/>
      <c r="N241" s="68"/>
      <c r="O241" s="67"/>
      <c r="P241" s="53"/>
      <c r="Q241" s="51"/>
      <c r="S241" s="52"/>
      <c r="T241" s="52"/>
    </row>
    <row r="242" spans="1:20" ht="15.75">
      <c r="A242" s="43">
        <v>244</v>
      </c>
      <c r="B242" s="44"/>
      <c r="C242" s="44"/>
      <c r="D242" s="45"/>
      <c r="E242" s="46"/>
      <c r="F242" s="47"/>
      <c r="G242" s="44"/>
      <c r="H242" s="48"/>
      <c r="I242" s="48"/>
      <c r="J242" s="48"/>
      <c r="K242" s="49"/>
      <c r="L242" s="49"/>
      <c r="M242" s="49"/>
      <c r="N242" s="68"/>
      <c r="O242" s="67"/>
      <c r="P242" s="53"/>
      <c r="Q242" s="51"/>
      <c r="S242" s="52"/>
      <c r="T242" s="52"/>
    </row>
  </sheetData>
  <mergeCells count="3">
    <mergeCell ref="P2:Q2"/>
    <mergeCell ref="B2:D2"/>
    <mergeCell ref="E2:N2"/>
  </mergeCells>
  <phoneticPr fontId="0" type="noConversion"/>
  <dataValidations count="3">
    <dataValidation type="list" allowBlank="1" showInputMessage="1" showErrorMessage="1" sqref="K5:K242" xr:uid="{00000000-0002-0000-0100-000000000000}">
      <formula1>"Strictly Confidential,Confidential,Business use only, Public"</formula1>
    </dataValidation>
    <dataValidation type="list" allowBlank="1" showInputMessage="1" showErrorMessage="1" sqref="H4:J242" xr:uid="{00000000-0002-0000-0100-000001000000}">
      <formula1>"Y,N"</formula1>
    </dataValidation>
    <dataValidation type="list" allowBlank="1" showInputMessage="1" showErrorMessage="1" sqref="L5:M242" xr:uid="{00000000-0002-0000-0100-000002000000}">
      <formula1>"High,Medium,Low"</formula1>
    </dataValidation>
  </dataValidations>
  <printOptions horizontalCentered="1" verticalCentered="1"/>
  <pageMargins left="0.39370078740157483" right="0.70866141732283472" top="0.74803149606299213" bottom="0.74803149606299213" header="0.31496062992125984" footer="0.31496062992125984"/>
  <pageSetup paperSize="8" scale="44" fitToWidth="2" orientation="landscape" r:id="rId1"/>
  <headerFooter>
    <oddFooter>&amp;CConfidential</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AH4"/>
  <sheetViews>
    <sheetView showGridLines="0" zoomScale="70" zoomScaleNormal="70" workbookViewId="0">
      <pane ySplit="4" topLeftCell="A5" activePane="bottomLeft" state="frozenSplit"/>
      <selection activeCell="B47" sqref="B47"/>
      <selection pane="bottomLeft" sqref="A1:T1"/>
    </sheetView>
  </sheetViews>
  <sheetFormatPr defaultColWidth="0" defaultRowHeight="12.75"/>
  <cols>
    <col min="1" max="1" width="11.42578125" style="88" customWidth="1"/>
    <col min="2" max="4" width="26" style="88" customWidth="1"/>
    <col min="5" max="5" width="30.7109375" style="89" customWidth="1"/>
    <col min="6" max="6" width="30.7109375" style="90" customWidth="1"/>
    <col min="7" max="7" width="32" style="88" customWidth="1"/>
    <col min="8" max="9" width="15.5703125" style="91" customWidth="1"/>
    <col min="10" max="10" width="15.5703125" style="88" customWidth="1"/>
    <col min="11" max="13" width="25.7109375" style="88" customWidth="1"/>
    <col min="14" max="14" width="28.42578125" style="88" customWidth="1"/>
    <col min="15" max="15" width="28.42578125" style="90" customWidth="1"/>
    <col min="16" max="17" width="38.140625" style="88" customWidth="1"/>
    <col min="18" max="18" width="3" style="88" customWidth="1"/>
    <col min="19" max="19" width="51.42578125" style="88" customWidth="1"/>
    <col min="20" max="20" width="42.140625" style="88" customWidth="1"/>
    <col min="21" max="21" width="1.42578125" style="92" customWidth="1"/>
    <col min="22" max="16384" width="9.140625" style="88" hidden="1"/>
  </cols>
  <sheetData>
    <row r="1" spans="1:34" s="66" customFormat="1" ht="104.25" customHeight="1" thickBot="1">
      <c r="A1" s="218" t="s">
        <v>179</v>
      </c>
      <c r="B1" s="219"/>
      <c r="C1" s="219"/>
      <c r="D1" s="219"/>
      <c r="E1" s="219"/>
      <c r="F1" s="219"/>
      <c r="G1" s="219"/>
      <c r="H1" s="219"/>
      <c r="I1" s="219"/>
      <c r="J1" s="219"/>
      <c r="K1" s="219"/>
      <c r="L1" s="219"/>
      <c r="M1" s="219"/>
      <c r="N1" s="219"/>
      <c r="O1" s="219"/>
      <c r="P1" s="219"/>
      <c r="Q1" s="219"/>
      <c r="R1" s="219"/>
      <c r="S1" s="219"/>
      <c r="T1" s="219"/>
      <c r="U1" s="81"/>
    </row>
    <row r="2" spans="1:34" s="112" customFormat="1" ht="16.5" customHeight="1" thickBot="1">
      <c r="A2" s="30"/>
      <c r="B2" s="210" t="s">
        <v>26</v>
      </c>
      <c r="C2" s="211"/>
      <c r="D2" s="212"/>
      <c r="E2" s="213" t="s">
        <v>25</v>
      </c>
      <c r="F2" s="214"/>
      <c r="G2" s="214"/>
      <c r="H2" s="214"/>
      <c r="I2" s="214"/>
      <c r="J2" s="214"/>
      <c r="K2" s="214"/>
      <c r="L2" s="214"/>
      <c r="M2" s="214"/>
      <c r="N2" s="215"/>
      <c r="O2" s="137"/>
      <c r="P2" s="216" t="s">
        <v>22</v>
      </c>
      <c r="Q2" s="217"/>
      <c r="R2" s="31"/>
      <c r="S2" s="140" t="s">
        <v>113</v>
      </c>
      <c r="T2" s="139" t="s">
        <v>54</v>
      </c>
      <c r="U2" s="82"/>
      <c r="X2" s="2"/>
      <c r="Y2" s="2"/>
      <c r="Z2" s="2"/>
      <c r="AA2" s="2"/>
      <c r="AB2" s="2"/>
      <c r="AC2" s="2"/>
      <c r="AD2" s="2"/>
      <c r="AE2" s="2"/>
      <c r="AF2" s="2"/>
      <c r="AG2" s="2"/>
      <c r="AH2" s="2"/>
    </row>
    <row r="3" spans="1:34" s="112" customFormat="1" ht="87" customHeight="1" thickBot="1">
      <c r="A3" s="143" t="s">
        <v>153</v>
      </c>
      <c r="B3" s="130" t="s">
        <v>196</v>
      </c>
      <c r="C3" s="131" t="s">
        <v>93</v>
      </c>
      <c r="D3" s="132" t="s">
        <v>94</v>
      </c>
      <c r="E3" s="130" t="s">
        <v>30</v>
      </c>
      <c r="F3" s="133" t="s">
        <v>31</v>
      </c>
      <c r="G3" s="133" t="s">
        <v>114</v>
      </c>
      <c r="H3" s="133" t="s">
        <v>155</v>
      </c>
      <c r="I3" s="133" t="s">
        <v>156</v>
      </c>
      <c r="J3" s="133" t="s">
        <v>157</v>
      </c>
      <c r="K3" s="134" t="s">
        <v>112</v>
      </c>
      <c r="L3" s="134" t="s">
        <v>115</v>
      </c>
      <c r="M3" s="134" t="s">
        <v>116</v>
      </c>
      <c r="N3" s="135" t="s">
        <v>154</v>
      </c>
      <c r="O3" s="136" t="s">
        <v>161</v>
      </c>
      <c r="P3" s="141" t="s">
        <v>158</v>
      </c>
      <c r="Q3" s="142" t="s">
        <v>159</v>
      </c>
      <c r="R3" s="31"/>
      <c r="S3" s="138" t="s">
        <v>23</v>
      </c>
      <c r="T3" s="138" t="s">
        <v>91</v>
      </c>
      <c r="U3" s="83"/>
      <c r="X3" s="3"/>
      <c r="Y3" s="3"/>
      <c r="Z3" s="3"/>
      <c r="AA3" s="3"/>
      <c r="AB3" s="3"/>
      <c r="AC3" s="3"/>
      <c r="AD3" s="3"/>
      <c r="AE3" s="3"/>
      <c r="AF3" s="3"/>
      <c r="AG3" s="3"/>
      <c r="AH3" s="3"/>
    </row>
    <row r="4" spans="1:34" s="80" customFormat="1" ht="43.5" customHeight="1">
      <c r="A4" s="75">
        <v>1</v>
      </c>
      <c r="B4" s="76" t="s">
        <v>11</v>
      </c>
      <c r="C4" s="76"/>
      <c r="D4" s="76"/>
      <c r="E4" s="77"/>
      <c r="F4" s="76"/>
      <c r="G4" s="76"/>
      <c r="H4" s="78"/>
      <c r="I4" s="78"/>
      <c r="J4" s="78"/>
      <c r="K4" s="79"/>
      <c r="L4" s="79"/>
      <c r="M4" s="79"/>
      <c r="N4" s="79"/>
      <c r="O4" s="79"/>
      <c r="P4" s="76"/>
      <c r="Q4" s="76"/>
    </row>
  </sheetData>
  <mergeCells count="4">
    <mergeCell ref="B2:D2"/>
    <mergeCell ref="E2:N2"/>
    <mergeCell ref="P2:Q2"/>
    <mergeCell ref="A1:T1"/>
  </mergeCells>
  <phoneticPr fontId="21" type="noConversion"/>
  <pageMargins left="0.74803149606299213" right="0.74803149606299213" top="0.98425196850393704" bottom="0.74803149606299213" header="0.51181102362204722" footer="0.51181102362204722"/>
  <pageSetup scale="22" orientation="landscape" r:id="rId1"/>
  <headerFooter alignWithMargins="0">
    <oddFooter>&amp;L&amp;D&amp;CConfidential&amp;R&amp;A</oddFooter>
  </headerFooter>
  <drawing r:id="rId2"/>
  <legacyDrawing r:id="rId3"/>
  <controls>
    <mc:AlternateContent xmlns:mc="http://schemas.openxmlformats.org/markup-compatibility/2006">
      <mc:Choice Requires="x14">
        <control shapeId="9217" r:id="rId4" name="Summary_Button">
          <controlPr defaultSize="0" autoFill="0" autoLine="0" r:id="rId5">
            <anchor moveWithCells="1">
              <from>
                <xdr:col>0</xdr:col>
                <xdr:colOff>9525</xdr:colOff>
                <xdr:row>3</xdr:row>
                <xdr:rowOff>9525</xdr:rowOff>
              </from>
              <to>
                <xdr:col>1</xdr:col>
                <xdr:colOff>1057275</xdr:colOff>
                <xdr:row>3</xdr:row>
                <xdr:rowOff>342900</xdr:rowOff>
              </to>
            </anchor>
          </controlPr>
        </control>
      </mc:Choice>
      <mc:Fallback>
        <control shapeId="9217" r:id="rId4" name="Summary_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C72"/>
  <sheetViews>
    <sheetView zoomScale="85" zoomScaleNormal="70" zoomScaleSheetLayoutView="55" workbookViewId="0"/>
  </sheetViews>
  <sheetFormatPr defaultColWidth="0" defaultRowHeight="11.25" zeroHeight="1"/>
  <cols>
    <col min="1" max="1" width="2.85546875" style="1" customWidth="1"/>
    <col min="2" max="3" width="9.140625" style="1" customWidth="1"/>
    <col min="4" max="4" width="10.28515625" style="1" customWidth="1"/>
    <col min="5" max="8" width="9.140625" style="1" customWidth="1"/>
    <col min="9" max="9" width="12.28515625" style="1" customWidth="1"/>
    <col min="10" max="11" width="9.140625" style="1" customWidth="1"/>
    <col min="12" max="12" width="17.28515625" style="1" customWidth="1"/>
    <col min="13" max="15" width="9.140625" style="1" customWidth="1"/>
    <col min="16" max="16" width="19.28515625" style="1" customWidth="1"/>
    <col min="17" max="17" width="2.28515625" style="1" customWidth="1"/>
    <col min="18" max="18" width="9.140625" style="1" customWidth="1"/>
    <col min="19" max="19" width="36.42578125" style="1" customWidth="1"/>
    <col min="20" max="20" width="3.42578125" style="1" customWidth="1"/>
    <col min="21" max="26" width="9.140625" style="4" hidden="1" customWidth="1"/>
    <col min="27" max="16384" width="9.140625" style="1" hidden="1"/>
  </cols>
  <sheetData>
    <row r="1" spans="1:29" ht="34.5" thickBot="1">
      <c r="A1" s="4"/>
      <c r="B1" s="244" t="s">
        <v>50</v>
      </c>
      <c r="C1" s="244"/>
      <c r="D1" s="244"/>
      <c r="E1" s="244"/>
      <c r="F1" s="244"/>
      <c r="G1" s="244"/>
      <c r="H1" s="244"/>
      <c r="I1" s="244"/>
      <c r="J1" s="244"/>
      <c r="K1" s="244"/>
      <c r="L1" s="244"/>
      <c r="M1" s="244"/>
      <c r="N1" s="244"/>
      <c r="O1" s="244"/>
      <c r="P1" s="244"/>
      <c r="Q1" s="244"/>
      <c r="R1" s="244"/>
      <c r="S1" s="244"/>
      <c r="T1" s="244"/>
      <c r="Z1" s="1"/>
    </row>
    <row r="2" spans="1:29" ht="18.75" thickBot="1">
      <c r="A2" s="4"/>
      <c r="B2" s="275" t="s">
        <v>52</v>
      </c>
      <c r="C2" s="276"/>
      <c r="D2" s="276"/>
      <c r="E2" s="276"/>
      <c r="F2" s="276"/>
      <c r="G2" s="276"/>
      <c r="H2" s="276"/>
      <c r="I2" s="276"/>
      <c r="J2" s="276"/>
      <c r="K2" s="276"/>
      <c r="L2" s="276"/>
      <c r="M2" s="276"/>
      <c r="N2" s="276"/>
      <c r="O2" s="276"/>
      <c r="P2" s="277"/>
      <c r="Q2" s="4"/>
      <c r="R2" s="4"/>
      <c r="S2" s="4"/>
      <c r="T2" s="4"/>
      <c r="AA2" s="4"/>
      <c r="AB2" s="4"/>
      <c r="AC2" s="4"/>
    </row>
    <row r="3" spans="1:29" ht="16.5" thickBot="1">
      <c r="A3" s="4"/>
      <c r="B3" s="283" t="s">
        <v>36</v>
      </c>
      <c r="C3" s="284"/>
      <c r="D3" s="284"/>
      <c r="E3" s="284"/>
      <c r="F3" s="285"/>
      <c r="G3" s="286" t="s">
        <v>53</v>
      </c>
      <c r="H3" s="287"/>
      <c r="I3" s="287"/>
      <c r="J3" s="287"/>
      <c r="K3" s="287"/>
      <c r="L3" s="287"/>
      <c r="M3" s="287"/>
      <c r="N3" s="287"/>
      <c r="O3" s="287"/>
      <c r="P3" s="288"/>
      <c r="Q3" s="4"/>
      <c r="R3" s="4"/>
      <c r="S3" s="4"/>
      <c r="T3" s="4"/>
      <c r="AA3" s="4"/>
      <c r="AB3" s="4"/>
      <c r="AC3" s="4"/>
    </row>
    <row r="4" spans="1:29" ht="14.25">
      <c r="A4" s="4"/>
      <c r="B4" s="289" t="s">
        <v>48</v>
      </c>
      <c r="C4" s="290"/>
      <c r="D4" s="290"/>
      <c r="E4" s="290"/>
      <c r="F4" s="290"/>
      <c r="G4" s="278" t="s">
        <v>188</v>
      </c>
      <c r="H4" s="278"/>
      <c r="I4" s="278"/>
      <c r="J4" s="278"/>
      <c r="K4" s="278"/>
      <c r="L4" s="278"/>
      <c r="M4" s="278"/>
      <c r="N4" s="278"/>
      <c r="O4" s="278"/>
      <c r="P4" s="279"/>
      <c r="Q4" s="4"/>
      <c r="R4" s="4"/>
      <c r="S4" s="4"/>
      <c r="T4" s="4"/>
      <c r="AA4" s="4"/>
      <c r="AB4" s="4"/>
      <c r="AC4" s="4"/>
    </row>
    <row r="5" spans="1:29" ht="14.25">
      <c r="A5" s="4"/>
      <c r="B5" s="271" t="s">
        <v>38</v>
      </c>
      <c r="C5" s="272"/>
      <c r="D5" s="272"/>
      <c r="E5" s="272"/>
      <c r="F5" s="272"/>
      <c r="G5" s="273" t="s">
        <v>137</v>
      </c>
      <c r="H5" s="273"/>
      <c r="I5" s="273"/>
      <c r="J5" s="273"/>
      <c r="K5" s="273"/>
      <c r="L5" s="273"/>
      <c r="M5" s="273"/>
      <c r="N5" s="273"/>
      <c r="O5" s="273"/>
      <c r="P5" s="274"/>
      <c r="Q5" s="4"/>
      <c r="R5" s="4"/>
      <c r="S5" s="4"/>
      <c r="T5" s="4"/>
      <c r="AA5" s="4"/>
      <c r="AB5" s="4"/>
      <c r="AC5" s="4"/>
    </row>
    <row r="6" spans="1:29" ht="14.25">
      <c r="A6" s="4"/>
      <c r="B6" s="256" t="s">
        <v>37</v>
      </c>
      <c r="C6" s="257"/>
      <c r="D6" s="257"/>
      <c r="E6" s="257"/>
      <c r="F6" s="257"/>
      <c r="G6" s="280" t="s">
        <v>138</v>
      </c>
      <c r="H6" s="281"/>
      <c r="I6" s="281"/>
      <c r="J6" s="281"/>
      <c r="K6" s="281"/>
      <c r="L6" s="281"/>
      <c r="M6" s="281"/>
      <c r="N6" s="281"/>
      <c r="O6" s="281"/>
      <c r="P6" s="282"/>
      <c r="Q6" s="4"/>
      <c r="R6" s="4"/>
      <c r="S6" s="4"/>
      <c r="T6" s="4"/>
      <c r="AA6" s="4"/>
      <c r="AB6" s="4"/>
      <c r="AC6" s="4"/>
    </row>
    <row r="7" spans="1:29" ht="14.25">
      <c r="A7" s="4"/>
      <c r="B7" s="256" t="s">
        <v>39</v>
      </c>
      <c r="C7" s="257"/>
      <c r="D7" s="257"/>
      <c r="E7" s="257"/>
      <c r="F7" s="257"/>
      <c r="G7" s="254" t="s">
        <v>189</v>
      </c>
      <c r="H7" s="254"/>
      <c r="I7" s="254"/>
      <c r="J7" s="254"/>
      <c r="K7" s="254"/>
      <c r="L7" s="254"/>
      <c r="M7" s="254"/>
      <c r="N7" s="254"/>
      <c r="O7" s="254"/>
      <c r="P7" s="255"/>
      <c r="Q7" s="4"/>
      <c r="R7" s="4"/>
      <c r="S7" s="4"/>
      <c r="T7" s="4"/>
      <c r="AA7" s="4"/>
      <c r="AB7" s="4"/>
      <c r="AC7" s="4"/>
    </row>
    <row r="8" spans="1:29" ht="14.25">
      <c r="A8" s="4"/>
      <c r="B8" s="256" t="s">
        <v>40</v>
      </c>
      <c r="C8" s="257"/>
      <c r="D8" s="257"/>
      <c r="E8" s="257"/>
      <c r="F8" s="257"/>
      <c r="G8" s="254" t="s">
        <v>139</v>
      </c>
      <c r="H8" s="254"/>
      <c r="I8" s="254"/>
      <c r="J8" s="254"/>
      <c r="K8" s="254"/>
      <c r="L8" s="254"/>
      <c r="M8" s="254"/>
      <c r="N8" s="254"/>
      <c r="O8" s="254"/>
      <c r="P8" s="255"/>
      <c r="Q8" s="4"/>
      <c r="R8" s="4"/>
      <c r="S8" s="4"/>
      <c r="T8" s="4"/>
      <c r="AA8" s="4"/>
      <c r="AB8" s="4"/>
      <c r="AC8" s="4"/>
    </row>
    <row r="9" spans="1:29" ht="14.25">
      <c r="A9" s="4"/>
      <c r="B9" s="256" t="s">
        <v>41</v>
      </c>
      <c r="C9" s="257"/>
      <c r="D9" s="257"/>
      <c r="E9" s="257"/>
      <c r="F9" s="257"/>
      <c r="G9" s="254" t="s">
        <v>140</v>
      </c>
      <c r="H9" s="254"/>
      <c r="I9" s="254"/>
      <c r="J9" s="254"/>
      <c r="K9" s="254"/>
      <c r="L9" s="254"/>
      <c r="M9" s="254"/>
      <c r="N9" s="254"/>
      <c r="O9" s="254"/>
      <c r="P9" s="255"/>
      <c r="Q9" s="4"/>
      <c r="R9" s="4"/>
      <c r="S9" s="4"/>
      <c r="T9" s="4"/>
      <c r="AA9" s="4"/>
      <c r="AB9" s="4"/>
      <c r="AC9" s="4"/>
    </row>
    <row r="10" spans="1:29" ht="14.25">
      <c r="A10" s="4"/>
      <c r="B10" s="256" t="s">
        <v>42</v>
      </c>
      <c r="C10" s="257"/>
      <c r="D10" s="257"/>
      <c r="E10" s="257"/>
      <c r="F10" s="257"/>
      <c r="G10" s="254" t="s">
        <v>190</v>
      </c>
      <c r="H10" s="254"/>
      <c r="I10" s="254"/>
      <c r="J10" s="254"/>
      <c r="K10" s="254"/>
      <c r="L10" s="254"/>
      <c r="M10" s="254"/>
      <c r="N10" s="254"/>
      <c r="O10" s="254"/>
      <c r="P10" s="255"/>
      <c r="Q10" s="4"/>
      <c r="R10" s="4"/>
      <c r="S10" s="4"/>
      <c r="T10" s="4"/>
      <c r="AA10" s="4"/>
      <c r="AB10" s="4"/>
      <c r="AC10" s="4"/>
    </row>
    <row r="11" spans="1:29" ht="14.25">
      <c r="A11" s="4"/>
      <c r="B11" s="256" t="s">
        <v>43</v>
      </c>
      <c r="C11" s="257"/>
      <c r="D11" s="257"/>
      <c r="E11" s="257"/>
      <c r="F11" s="257"/>
      <c r="G11" s="254" t="s">
        <v>141</v>
      </c>
      <c r="H11" s="254"/>
      <c r="I11" s="254"/>
      <c r="J11" s="254"/>
      <c r="K11" s="254"/>
      <c r="L11" s="254"/>
      <c r="M11" s="254"/>
      <c r="N11" s="254"/>
      <c r="O11" s="254"/>
      <c r="P11" s="255"/>
      <c r="Q11" s="4"/>
      <c r="R11" s="4"/>
      <c r="S11" s="4"/>
      <c r="T11" s="4"/>
      <c r="AA11" s="4"/>
      <c r="AB11" s="4"/>
      <c r="AC11" s="4"/>
    </row>
    <row r="12" spans="1:29" ht="14.25">
      <c r="A12" s="4"/>
      <c r="B12" s="256" t="s">
        <v>44</v>
      </c>
      <c r="C12" s="257"/>
      <c r="D12" s="257"/>
      <c r="E12" s="257"/>
      <c r="F12" s="257"/>
      <c r="G12" s="254" t="s">
        <v>191</v>
      </c>
      <c r="H12" s="254"/>
      <c r="I12" s="254"/>
      <c r="J12" s="254"/>
      <c r="K12" s="254"/>
      <c r="L12" s="254"/>
      <c r="M12" s="254"/>
      <c r="N12" s="254"/>
      <c r="O12" s="254"/>
      <c r="P12" s="255"/>
      <c r="Q12" s="4"/>
      <c r="R12" s="4"/>
      <c r="S12" s="4"/>
      <c r="T12" s="4"/>
      <c r="AA12" s="4"/>
      <c r="AB12" s="4"/>
      <c r="AC12" s="4"/>
    </row>
    <row r="13" spans="1:29" ht="14.25">
      <c r="A13" s="4"/>
      <c r="B13" s="256" t="s">
        <v>45</v>
      </c>
      <c r="C13" s="257"/>
      <c r="D13" s="257"/>
      <c r="E13" s="257"/>
      <c r="F13" s="257"/>
      <c r="G13" s="254" t="s">
        <v>142</v>
      </c>
      <c r="H13" s="254"/>
      <c r="I13" s="254"/>
      <c r="J13" s="254"/>
      <c r="K13" s="254"/>
      <c r="L13" s="254"/>
      <c r="M13" s="254"/>
      <c r="N13" s="254"/>
      <c r="O13" s="254"/>
      <c r="P13" s="255"/>
      <c r="Q13" s="4"/>
      <c r="R13" s="4"/>
      <c r="S13" s="4"/>
      <c r="T13" s="4"/>
      <c r="AA13" s="4"/>
      <c r="AB13" s="4"/>
      <c r="AC13" s="4"/>
    </row>
    <row r="14" spans="1:29" ht="14.25">
      <c r="A14" s="4"/>
      <c r="B14" s="256" t="s">
        <v>192</v>
      </c>
      <c r="C14" s="257"/>
      <c r="D14" s="257"/>
      <c r="E14" s="257"/>
      <c r="F14" s="257"/>
      <c r="G14" s="254" t="s">
        <v>143</v>
      </c>
      <c r="H14" s="254"/>
      <c r="I14" s="254"/>
      <c r="J14" s="254"/>
      <c r="K14" s="254"/>
      <c r="L14" s="254"/>
      <c r="M14" s="254"/>
      <c r="N14" s="254"/>
      <c r="O14" s="254"/>
      <c r="P14" s="255"/>
      <c r="Q14" s="4"/>
      <c r="R14" s="4"/>
      <c r="S14" s="4"/>
      <c r="T14" s="4"/>
      <c r="AA14" s="4"/>
      <c r="AB14" s="4"/>
      <c r="AC14" s="4"/>
    </row>
    <row r="15" spans="1:29" ht="14.25">
      <c r="A15" s="4"/>
      <c r="B15" s="256" t="s">
        <v>46</v>
      </c>
      <c r="C15" s="257"/>
      <c r="D15" s="257"/>
      <c r="E15" s="257"/>
      <c r="F15" s="257"/>
      <c r="G15" s="254" t="s">
        <v>144</v>
      </c>
      <c r="H15" s="254"/>
      <c r="I15" s="254"/>
      <c r="J15" s="254"/>
      <c r="K15" s="254"/>
      <c r="L15" s="254"/>
      <c r="M15" s="254"/>
      <c r="N15" s="254"/>
      <c r="O15" s="254"/>
      <c r="P15" s="255"/>
      <c r="Q15" s="4"/>
      <c r="R15" s="4"/>
      <c r="S15" s="4"/>
      <c r="T15" s="4"/>
      <c r="AA15" s="4"/>
      <c r="AB15" s="4"/>
      <c r="AC15" s="4"/>
    </row>
    <row r="16" spans="1:29" ht="15" thickBot="1">
      <c r="A16" s="4"/>
      <c r="B16" s="258" t="s">
        <v>47</v>
      </c>
      <c r="C16" s="259"/>
      <c r="D16" s="259"/>
      <c r="E16" s="259"/>
      <c r="F16" s="259"/>
      <c r="G16" s="263" t="s">
        <v>145</v>
      </c>
      <c r="H16" s="263"/>
      <c r="I16" s="263"/>
      <c r="J16" s="263"/>
      <c r="K16" s="263"/>
      <c r="L16" s="263"/>
      <c r="M16" s="263"/>
      <c r="N16" s="263"/>
      <c r="O16" s="263"/>
      <c r="P16" s="264"/>
      <c r="Q16" s="4"/>
      <c r="R16" s="4"/>
      <c r="S16" s="4"/>
      <c r="T16" s="4"/>
      <c r="AA16" s="4"/>
      <c r="AB16" s="4"/>
      <c r="AC16" s="4"/>
    </row>
    <row r="17" spans="1:29" ht="34.5" thickBot="1">
      <c r="A17" s="4"/>
      <c r="B17" s="244" t="s">
        <v>49</v>
      </c>
      <c r="C17" s="244"/>
      <c r="D17" s="244"/>
      <c r="E17" s="244"/>
      <c r="F17" s="244"/>
      <c r="G17" s="244"/>
      <c r="H17" s="244"/>
      <c r="I17" s="244"/>
      <c r="J17" s="244"/>
      <c r="K17" s="244"/>
      <c r="L17" s="244"/>
      <c r="M17" s="244"/>
      <c r="N17" s="244"/>
      <c r="O17" s="244"/>
      <c r="P17" s="244"/>
      <c r="Q17" s="244"/>
      <c r="R17" s="244"/>
      <c r="S17" s="244"/>
      <c r="T17" s="244"/>
      <c r="AA17" s="4"/>
      <c r="AB17" s="4"/>
      <c r="AC17" s="4"/>
    </row>
    <row r="18" spans="1:29" s="120" customFormat="1" ht="19.5" customHeight="1" thickBot="1">
      <c r="A18" s="117"/>
      <c r="B18" s="220" t="s">
        <v>20</v>
      </c>
      <c r="C18" s="329"/>
      <c r="D18" s="329"/>
      <c r="E18" s="223" t="s">
        <v>70</v>
      </c>
      <c r="F18" s="224"/>
      <c r="G18" s="224"/>
      <c r="H18" s="224"/>
      <c r="I18" s="224"/>
      <c r="J18" s="224"/>
      <c r="K18" s="224"/>
      <c r="L18" s="224"/>
      <c r="M18" s="224"/>
      <c r="N18" s="224"/>
      <c r="O18" s="224"/>
      <c r="P18" s="224"/>
      <c r="Q18" s="224"/>
      <c r="R18" s="224"/>
      <c r="S18" s="225"/>
      <c r="T18" s="121"/>
      <c r="U18" s="117"/>
      <c r="V18" s="117"/>
      <c r="W18" s="117"/>
      <c r="X18" s="117"/>
      <c r="Y18" s="117"/>
      <c r="Z18" s="117"/>
    </row>
    <row r="19" spans="1:29" s="120" customFormat="1" ht="19.5" customHeight="1" thickBot="1">
      <c r="A19" s="117"/>
      <c r="B19" s="334" t="s">
        <v>96</v>
      </c>
      <c r="C19" s="335"/>
      <c r="D19" s="335"/>
      <c r="E19" s="334" t="s">
        <v>60</v>
      </c>
      <c r="F19" s="335"/>
      <c r="G19" s="335"/>
      <c r="H19" s="335"/>
      <c r="I19" s="336"/>
      <c r="J19" s="260" t="s">
        <v>24</v>
      </c>
      <c r="K19" s="261"/>
      <c r="L19" s="333"/>
      <c r="M19" s="260" t="s">
        <v>61</v>
      </c>
      <c r="N19" s="261"/>
      <c r="O19" s="261"/>
      <c r="P19" s="261"/>
      <c r="Q19" s="262"/>
      <c r="R19" s="260" t="s">
        <v>97</v>
      </c>
      <c r="S19" s="333"/>
      <c r="T19" s="119"/>
      <c r="U19" s="117"/>
      <c r="V19" s="117"/>
      <c r="W19" s="117"/>
      <c r="X19" s="117"/>
      <c r="Y19" s="117"/>
      <c r="Z19" s="117"/>
    </row>
    <row r="20" spans="1:29" ht="113.25" customHeight="1">
      <c r="A20" s="4"/>
      <c r="B20" s="337" t="s">
        <v>55</v>
      </c>
      <c r="C20" s="338"/>
      <c r="D20" s="339"/>
      <c r="E20" s="315" t="s">
        <v>95</v>
      </c>
      <c r="F20" s="316"/>
      <c r="G20" s="316"/>
      <c r="H20" s="316"/>
      <c r="I20" s="316"/>
      <c r="J20" s="315" t="s">
        <v>202</v>
      </c>
      <c r="K20" s="316"/>
      <c r="L20" s="316"/>
      <c r="M20" s="313" t="s">
        <v>98</v>
      </c>
      <c r="N20" s="323"/>
      <c r="O20" s="323"/>
      <c r="P20" s="323"/>
      <c r="Q20" s="323"/>
      <c r="R20" s="313" t="s">
        <v>66</v>
      </c>
      <c r="S20" s="314"/>
      <c r="T20" s="86"/>
    </row>
    <row r="21" spans="1:29" ht="131.25" customHeight="1">
      <c r="A21" s="4"/>
      <c r="B21" s="250" t="s">
        <v>56</v>
      </c>
      <c r="C21" s="251"/>
      <c r="D21" s="252"/>
      <c r="E21" s="248" t="s">
        <v>201</v>
      </c>
      <c r="F21" s="226"/>
      <c r="G21" s="226"/>
      <c r="H21" s="226"/>
      <c r="I21" s="249"/>
      <c r="J21" s="317" t="s">
        <v>211</v>
      </c>
      <c r="K21" s="318"/>
      <c r="L21" s="319"/>
      <c r="M21" s="297" t="s">
        <v>63</v>
      </c>
      <c r="N21" s="324"/>
      <c r="O21" s="324"/>
      <c r="P21" s="324"/>
      <c r="Q21" s="325"/>
      <c r="R21" s="249" t="s">
        <v>63</v>
      </c>
      <c r="S21" s="298"/>
      <c r="T21" s="87"/>
    </row>
    <row r="22" spans="1:29" ht="51.75" customHeight="1">
      <c r="A22" s="4"/>
      <c r="B22" s="250" t="s">
        <v>57</v>
      </c>
      <c r="C22" s="251"/>
      <c r="D22" s="252"/>
      <c r="E22" s="248" t="s">
        <v>99</v>
      </c>
      <c r="F22" s="226"/>
      <c r="G22" s="226"/>
      <c r="H22" s="226"/>
      <c r="I22" s="249"/>
      <c r="J22" s="267" t="s">
        <v>64</v>
      </c>
      <c r="K22" s="267"/>
      <c r="L22" s="267"/>
      <c r="M22" s="268" t="s">
        <v>65</v>
      </c>
      <c r="N22" s="268"/>
      <c r="O22" s="268"/>
      <c r="P22" s="268"/>
      <c r="Q22" s="269"/>
      <c r="R22" s="226" t="s">
        <v>66</v>
      </c>
      <c r="S22" s="270"/>
      <c r="T22" s="87"/>
    </row>
    <row r="23" spans="1:29" ht="51" customHeight="1">
      <c r="A23" s="4"/>
      <c r="B23" s="250" t="s">
        <v>35</v>
      </c>
      <c r="C23" s="251"/>
      <c r="D23" s="252"/>
      <c r="E23" s="253" t="s">
        <v>100</v>
      </c>
      <c r="F23" s="226"/>
      <c r="G23" s="226"/>
      <c r="H23" s="226"/>
      <c r="I23" s="249"/>
      <c r="J23" s="267" t="s">
        <v>101</v>
      </c>
      <c r="K23" s="267"/>
      <c r="L23" s="267"/>
      <c r="M23" s="296" t="s">
        <v>195</v>
      </c>
      <c r="N23" s="296"/>
      <c r="O23" s="296"/>
      <c r="P23" s="296"/>
      <c r="Q23" s="297"/>
      <c r="R23" s="296" t="s">
        <v>66</v>
      </c>
      <c r="S23" s="303"/>
      <c r="T23" s="65"/>
    </row>
    <row r="24" spans="1:29" ht="39.75" customHeight="1">
      <c r="A24" s="4"/>
      <c r="B24" s="250" t="s">
        <v>58</v>
      </c>
      <c r="C24" s="251"/>
      <c r="D24" s="252"/>
      <c r="E24" s="253" t="s">
        <v>67</v>
      </c>
      <c r="F24" s="226"/>
      <c r="G24" s="226"/>
      <c r="H24" s="226"/>
      <c r="I24" s="249"/>
      <c r="J24" s="267" t="s">
        <v>68</v>
      </c>
      <c r="K24" s="267"/>
      <c r="L24" s="267"/>
      <c r="M24" s="296" t="s">
        <v>69</v>
      </c>
      <c r="N24" s="296"/>
      <c r="O24" s="296"/>
      <c r="P24" s="296"/>
      <c r="Q24" s="297"/>
      <c r="R24" s="296" t="s">
        <v>69</v>
      </c>
      <c r="S24" s="303"/>
      <c r="T24" s="65"/>
    </row>
    <row r="25" spans="1:29" ht="81.75" customHeight="1" thickBot="1">
      <c r="A25" s="4"/>
      <c r="B25" s="250" t="s">
        <v>59</v>
      </c>
      <c r="C25" s="251"/>
      <c r="D25" s="252"/>
      <c r="E25" s="253" t="s">
        <v>203</v>
      </c>
      <c r="F25" s="226"/>
      <c r="G25" s="226"/>
      <c r="H25" s="226"/>
      <c r="I25" s="249"/>
      <c r="J25" s="267" t="s">
        <v>102</v>
      </c>
      <c r="K25" s="267"/>
      <c r="L25" s="267"/>
      <c r="M25" s="296" t="s">
        <v>102</v>
      </c>
      <c r="N25" s="296"/>
      <c r="O25" s="296"/>
      <c r="P25" s="296"/>
      <c r="Q25" s="297"/>
      <c r="R25" s="296" t="s">
        <v>103</v>
      </c>
      <c r="S25" s="303"/>
      <c r="T25" s="65"/>
    </row>
    <row r="26" spans="1:29" ht="16.5" thickBot="1">
      <c r="A26" s="4"/>
      <c r="B26" s="344" t="s">
        <v>20</v>
      </c>
      <c r="C26" s="345"/>
      <c r="D26" s="345"/>
      <c r="E26" s="330" t="s">
        <v>204</v>
      </c>
      <c r="F26" s="331"/>
      <c r="G26" s="331"/>
      <c r="H26" s="331"/>
      <c r="I26" s="331"/>
      <c r="J26" s="331"/>
      <c r="K26" s="331"/>
      <c r="L26" s="331"/>
      <c r="M26" s="331"/>
      <c r="N26" s="331"/>
      <c r="O26" s="331"/>
      <c r="P26" s="331"/>
      <c r="Q26" s="331"/>
      <c r="R26" s="331"/>
      <c r="S26" s="332"/>
      <c r="T26" s="85"/>
    </row>
    <row r="27" spans="1:29" ht="16.5" thickBot="1">
      <c r="A27" s="4"/>
      <c r="B27" s="340" t="s">
        <v>96</v>
      </c>
      <c r="C27" s="341"/>
      <c r="D27" s="341"/>
      <c r="E27" s="340" t="s">
        <v>60</v>
      </c>
      <c r="F27" s="341"/>
      <c r="G27" s="341"/>
      <c r="H27" s="341"/>
      <c r="I27" s="342"/>
      <c r="J27" s="265" t="s">
        <v>24</v>
      </c>
      <c r="K27" s="304"/>
      <c r="L27" s="266"/>
      <c r="M27" s="265" t="s">
        <v>61</v>
      </c>
      <c r="N27" s="304"/>
      <c r="O27" s="304"/>
      <c r="P27" s="304"/>
      <c r="Q27" s="343"/>
      <c r="R27" s="265" t="s">
        <v>97</v>
      </c>
      <c r="S27" s="266"/>
      <c r="T27" s="65"/>
    </row>
    <row r="28" spans="1:29" ht="66.75" customHeight="1">
      <c r="A28" s="4"/>
      <c r="B28" s="337" t="s">
        <v>71</v>
      </c>
      <c r="C28" s="338"/>
      <c r="D28" s="339"/>
      <c r="E28" s="315" t="s">
        <v>106</v>
      </c>
      <c r="F28" s="316"/>
      <c r="G28" s="316"/>
      <c r="H28" s="316"/>
      <c r="I28" s="316"/>
      <c r="J28" s="315" t="s">
        <v>107</v>
      </c>
      <c r="K28" s="316"/>
      <c r="L28" s="316"/>
      <c r="M28" s="313" t="s">
        <v>206</v>
      </c>
      <c r="N28" s="323"/>
      <c r="O28" s="323"/>
      <c r="P28" s="323"/>
      <c r="Q28" s="323"/>
      <c r="R28" s="313" t="s">
        <v>66</v>
      </c>
      <c r="S28" s="314"/>
      <c r="T28" s="86"/>
    </row>
    <row r="29" spans="1:29" ht="63.75" customHeight="1">
      <c r="A29" s="4"/>
      <c r="B29" s="250" t="s">
        <v>72</v>
      </c>
      <c r="C29" s="251"/>
      <c r="D29" s="252"/>
      <c r="E29" s="248" t="s">
        <v>74</v>
      </c>
      <c r="F29" s="226"/>
      <c r="G29" s="226"/>
      <c r="H29" s="226"/>
      <c r="I29" s="249"/>
      <c r="J29" s="317" t="s">
        <v>75</v>
      </c>
      <c r="K29" s="318"/>
      <c r="L29" s="319"/>
      <c r="M29" s="297" t="s">
        <v>76</v>
      </c>
      <c r="N29" s="324"/>
      <c r="O29" s="324"/>
      <c r="P29" s="324"/>
      <c r="Q29" s="325"/>
      <c r="R29" s="249" t="s">
        <v>66</v>
      </c>
      <c r="S29" s="298"/>
      <c r="T29" s="87"/>
    </row>
    <row r="30" spans="1:29" ht="50.25" customHeight="1">
      <c r="A30" s="4"/>
      <c r="B30" s="245" t="s">
        <v>73</v>
      </c>
      <c r="C30" s="246"/>
      <c r="D30" s="247"/>
      <c r="E30" s="248" t="s">
        <v>205</v>
      </c>
      <c r="F30" s="226"/>
      <c r="G30" s="226"/>
      <c r="H30" s="226"/>
      <c r="I30" s="249"/>
      <c r="J30" s="267" t="s">
        <v>108</v>
      </c>
      <c r="K30" s="267"/>
      <c r="L30" s="267"/>
      <c r="M30" s="268" t="s">
        <v>77</v>
      </c>
      <c r="N30" s="268"/>
      <c r="O30" s="268"/>
      <c r="P30" s="268"/>
      <c r="Q30" s="269"/>
      <c r="R30" s="226" t="s">
        <v>66</v>
      </c>
      <c r="S30" s="270"/>
      <c r="T30" s="87"/>
    </row>
    <row r="31" spans="1:29" ht="76.5" customHeight="1">
      <c r="A31" s="4"/>
      <c r="B31" s="245" t="s">
        <v>207</v>
      </c>
      <c r="C31" s="246"/>
      <c r="D31" s="247"/>
      <c r="E31" s="248" t="s">
        <v>109</v>
      </c>
      <c r="F31" s="226"/>
      <c r="G31" s="226"/>
      <c r="H31" s="226"/>
      <c r="I31" s="249"/>
      <c r="J31" s="267" t="s">
        <v>109</v>
      </c>
      <c r="K31" s="267"/>
      <c r="L31" s="267"/>
      <c r="M31" s="268" t="s">
        <v>194</v>
      </c>
      <c r="N31" s="268"/>
      <c r="O31" s="268"/>
      <c r="P31" s="268"/>
      <c r="Q31" s="269"/>
      <c r="R31" s="226" t="s">
        <v>66</v>
      </c>
      <c r="S31" s="270"/>
      <c r="T31" s="87"/>
    </row>
    <row r="32" spans="1:29" ht="65.25" customHeight="1">
      <c r="A32" s="4"/>
      <c r="B32" s="245" t="s">
        <v>105</v>
      </c>
      <c r="C32" s="246"/>
      <c r="D32" s="247"/>
      <c r="E32" s="248" t="s">
        <v>110</v>
      </c>
      <c r="F32" s="226"/>
      <c r="G32" s="226"/>
      <c r="H32" s="226"/>
      <c r="I32" s="249"/>
      <c r="J32" s="267" t="s">
        <v>110</v>
      </c>
      <c r="K32" s="267"/>
      <c r="L32" s="267"/>
      <c r="M32" s="268" t="s">
        <v>78</v>
      </c>
      <c r="N32" s="268"/>
      <c r="O32" s="268"/>
      <c r="P32" s="268"/>
      <c r="Q32" s="269"/>
      <c r="R32" s="226" t="s">
        <v>78</v>
      </c>
      <c r="S32" s="270"/>
      <c r="T32" s="87"/>
    </row>
    <row r="33" spans="1:29" ht="66" customHeight="1">
      <c r="A33" s="4"/>
      <c r="B33" s="245" t="s">
        <v>104</v>
      </c>
      <c r="C33" s="246"/>
      <c r="D33" s="247"/>
      <c r="E33" s="248" t="s">
        <v>208</v>
      </c>
      <c r="F33" s="226"/>
      <c r="G33" s="226"/>
      <c r="H33" s="226"/>
      <c r="I33" s="249"/>
      <c r="J33" s="267" t="s">
        <v>111</v>
      </c>
      <c r="K33" s="267"/>
      <c r="L33" s="267"/>
      <c r="M33" s="268" t="s">
        <v>111</v>
      </c>
      <c r="N33" s="268"/>
      <c r="O33" s="268"/>
      <c r="P33" s="268"/>
      <c r="Q33" s="269"/>
      <c r="R33" s="226" t="s">
        <v>111</v>
      </c>
      <c r="S33" s="270"/>
      <c r="T33" s="65"/>
    </row>
    <row r="34" spans="1:29" ht="51" customHeight="1" thickBot="1">
      <c r="A34" s="4"/>
      <c r="B34" s="244" t="s">
        <v>120</v>
      </c>
      <c r="C34" s="244"/>
      <c r="D34" s="244"/>
      <c r="E34" s="244"/>
      <c r="F34" s="244"/>
      <c r="G34" s="244"/>
      <c r="H34" s="244"/>
      <c r="I34" s="244"/>
      <c r="J34" s="244"/>
      <c r="K34" s="244"/>
      <c r="L34" s="244"/>
      <c r="M34" s="244"/>
      <c r="N34" s="244"/>
      <c r="O34" s="244"/>
      <c r="P34" s="244"/>
      <c r="Q34" s="244"/>
      <c r="R34" s="244"/>
      <c r="S34" s="244"/>
      <c r="T34" s="244"/>
    </row>
    <row r="35" spans="1:29" s="120" customFormat="1" ht="18" customHeight="1" thickBot="1">
      <c r="A35" s="117"/>
      <c r="B35" s="220" t="s">
        <v>210</v>
      </c>
      <c r="C35" s="221"/>
      <c r="D35" s="221"/>
      <c r="E35" s="222" t="s">
        <v>122</v>
      </c>
      <c r="F35" s="221"/>
      <c r="G35" s="221"/>
      <c r="H35" s="221"/>
      <c r="I35" s="221"/>
      <c r="J35" s="223" t="s">
        <v>123</v>
      </c>
      <c r="K35" s="224"/>
      <c r="L35" s="224"/>
      <c r="M35" s="224"/>
      <c r="N35" s="224"/>
      <c r="O35" s="224"/>
      <c r="P35" s="224"/>
      <c r="Q35" s="224"/>
      <c r="R35" s="225"/>
      <c r="S35" s="118"/>
      <c r="T35" s="119"/>
      <c r="U35" s="117"/>
      <c r="V35" s="117"/>
      <c r="W35" s="117"/>
      <c r="X35" s="117"/>
      <c r="Y35" s="117"/>
      <c r="Z35" s="117"/>
    </row>
    <row r="36" spans="1:29" s="120" customFormat="1" ht="18" customHeight="1">
      <c r="A36" s="117"/>
      <c r="B36" s="236" t="s">
        <v>124</v>
      </c>
      <c r="C36" s="237"/>
      <c r="D36" s="237"/>
      <c r="E36" s="238" t="s">
        <v>127</v>
      </c>
      <c r="F36" s="238"/>
      <c r="G36" s="238"/>
      <c r="H36" s="238"/>
      <c r="I36" s="238"/>
      <c r="J36" s="239" t="s">
        <v>130</v>
      </c>
      <c r="K36" s="240"/>
      <c r="L36" s="240"/>
      <c r="M36" s="240"/>
      <c r="N36" s="240"/>
      <c r="O36" s="240"/>
      <c r="P36" s="240"/>
      <c r="Q36" s="240"/>
      <c r="R36" s="241"/>
      <c r="S36" s="118"/>
      <c r="T36" s="119"/>
      <c r="U36" s="117"/>
      <c r="V36" s="117"/>
      <c r="W36" s="117"/>
      <c r="X36" s="117"/>
      <c r="Y36" s="117"/>
      <c r="Z36" s="117"/>
    </row>
    <row r="37" spans="1:29" s="120" customFormat="1" ht="18" customHeight="1">
      <c r="A37" s="117"/>
      <c r="B37" s="242" t="s">
        <v>118</v>
      </c>
      <c r="C37" s="243"/>
      <c r="D37" s="243"/>
      <c r="E37" s="226" t="s">
        <v>128</v>
      </c>
      <c r="F37" s="226"/>
      <c r="G37" s="226"/>
      <c r="H37" s="226"/>
      <c r="I37" s="226"/>
      <c r="J37" s="227" t="s">
        <v>125</v>
      </c>
      <c r="K37" s="228"/>
      <c r="L37" s="228"/>
      <c r="M37" s="228"/>
      <c r="N37" s="228"/>
      <c r="O37" s="228"/>
      <c r="P37" s="228"/>
      <c r="Q37" s="228"/>
      <c r="R37" s="229"/>
      <c r="S37" s="118"/>
      <c r="T37" s="119"/>
      <c r="U37" s="117"/>
      <c r="V37" s="117"/>
      <c r="W37" s="117"/>
      <c r="X37" s="117"/>
      <c r="Y37" s="117"/>
      <c r="Z37" s="117"/>
    </row>
    <row r="38" spans="1:29" s="120" customFormat="1" ht="18" customHeight="1" thickBot="1">
      <c r="A38" s="117"/>
      <c r="B38" s="233" t="s">
        <v>119</v>
      </c>
      <c r="C38" s="234"/>
      <c r="D38" s="234"/>
      <c r="E38" s="235" t="s">
        <v>129</v>
      </c>
      <c r="F38" s="235"/>
      <c r="G38" s="235"/>
      <c r="H38" s="235"/>
      <c r="I38" s="235"/>
      <c r="J38" s="230" t="s">
        <v>126</v>
      </c>
      <c r="K38" s="231"/>
      <c r="L38" s="231"/>
      <c r="M38" s="231"/>
      <c r="N38" s="231"/>
      <c r="O38" s="231"/>
      <c r="P38" s="231"/>
      <c r="Q38" s="231"/>
      <c r="R38" s="232"/>
      <c r="S38" s="118"/>
      <c r="T38" s="119"/>
      <c r="U38" s="117"/>
      <c r="V38" s="117"/>
      <c r="W38" s="117"/>
      <c r="X38" s="117"/>
      <c r="Y38" s="117"/>
      <c r="Z38" s="117"/>
    </row>
    <row r="39" spans="1:29" ht="49.5" customHeight="1" thickBot="1">
      <c r="A39" s="4"/>
      <c r="B39" s="244" t="s">
        <v>131</v>
      </c>
      <c r="C39" s="244"/>
      <c r="D39" s="244"/>
      <c r="E39" s="244"/>
      <c r="F39" s="244"/>
      <c r="G39" s="244"/>
      <c r="H39" s="244"/>
      <c r="I39" s="244"/>
      <c r="J39" s="244"/>
      <c r="K39" s="244"/>
      <c r="L39" s="244"/>
      <c r="M39" s="244"/>
      <c r="N39" s="244"/>
      <c r="O39" s="244"/>
      <c r="P39" s="244"/>
      <c r="Q39" s="244"/>
      <c r="R39" s="244"/>
      <c r="S39" s="244"/>
      <c r="T39" s="244"/>
    </row>
    <row r="40" spans="1:29" s="120" customFormat="1" ht="18" customHeight="1" thickBot="1">
      <c r="A40" s="117"/>
      <c r="B40" s="220" t="s">
        <v>209</v>
      </c>
      <c r="C40" s="221"/>
      <c r="D40" s="221"/>
      <c r="E40" s="222" t="s">
        <v>122</v>
      </c>
      <c r="F40" s="221"/>
      <c r="G40" s="221"/>
      <c r="H40" s="221"/>
      <c r="I40" s="221"/>
      <c r="J40" s="223" t="s">
        <v>212</v>
      </c>
      <c r="K40" s="224"/>
      <c r="L40" s="224"/>
      <c r="M40" s="224"/>
      <c r="N40" s="224"/>
      <c r="O40" s="224"/>
      <c r="P40" s="224"/>
      <c r="Q40" s="224"/>
      <c r="R40" s="225"/>
      <c r="S40" s="118"/>
      <c r="T40" s="119"/>
      <c r="U40" s="117"/>
      <c r="V40" s="117"/>
      <c r="W40" s="117"/>
      <c r="X40" s="117"/>
      <c r="Y40" s="117"/>
      <c r="Z40" s="117"/>
    </row>
    <row r="41" spans="1:29" s="120" customFormat="1" ht="18" customHeight="1">
      <c r="A41" s="117"/>
      <c r="B41" s="236" t="s">
        <v>124</v>
      </c>
      <c r="C41" s="237"/>
      <c r="D41" s="237"/>
      <c r="E41" s="238" t="s">
        <v>178</v>
      </c>
      <c r="F41" s="238"/>
      <c r="G41" s="238"/>
      <c r="H41" s="238"/>
      <c r="I41" s="238"/>
      <c r="J41" s="239" t="s">
        <v>177</v>
      </c>
      <c r="K41" s="240"/>
      <c r="L41" s="240"/>
      <c r="M41" s="240"/>
      <c r="N41" s="240"/>
      <c r="O41" s="240"/>
      <c r="P41" s="240"/>
      <c r="Q41" s="240"/>
      <c r="R41" s="241"/>
      <c r="S41" s="118"/>
      <c r="T41" s="119"/>
      <c r="U41" s="117"/>
      <c r="V41" s="117"/>
      <c r="W41" s="117"/>
      <c r="X41" s="117"/>
      <c r="Y41" s="117"/>
      <c r="Z41" s="117"/>
    </row>
    <row r="42" spans="1:29" s="120" customFormat="1" ht="18" customHeight="1">
      <c r="A42" s="117"/>
      <c r="B42" s="242" t="s">
        <v>118</v>
      </c>
      <c r="C42" s="243"/>
      <c r="D42" s="243"/>
      <c r="E42" s="226" t="s">
        <v>136</v>
      </c>
      <c r="F42" s="226"/>
      <c r="G42" s="226"/>
      <c r="H42" s="226"/>
      <c r="I42" s="226"/>
      <c r="J42" s="227" t="s">
        <v>133</v>
      </c>
      <c r="K42" s="228"/>
      <c r="L42" s="228"/>
      <c r="M42" s="228"/>
      <c r="N42" s="228"/>
      <c r="O42" s="228"/>
      <c r="P42" s="228"/>
      <c r="Q42" s="228"/>
      <c r="R42" s="229"/>
      <c r="S42" s="118"/>
      <c r="T42" s="119"/>
      <c r="U42" s="117"/>
      <c r="V42" s="117"/>
      <c r="W42" s="117"/>
      <c r="X42" s="117"/>
      <c r="Y42" s="117"/>
      <c r="Z42" s="117"/>
    </row>
    <row r="43" spans="1:29" s="120" customFormat="1" ht="18" customHeight="1" thickBot="1">
      <c r="A43" s="117"/>
      <c r="B43" s="233" t="s">
        <v>119</v>
      </c>
      <c r="C43" s="234"/>
      <c r="D43" s="234"/>
      <c r="E43" s="235" t="s">
        <v>135</v>
      </c>
      <c r="F43" s="235"/>
      <c r="G43" s="235"/>
      <c r="H43" s="235"/>
      <c r="I43" s="235"/>
      <c r="J43" s="230" t="s">
        <v>134</v>
      </c>
      <c r="K43" s="231"/>
      <c r="L43" s="231"/>
      <c r="M43" s="231"/>
      <c r="N43" s="231"/>
      <c r="O43" s="231"/>
      <c r="P43" s="231"/>
      <c r="Q43" s="231"/>
      <c r="R43" s="232"/>
      <c r="S43" s="118"/>
      <c r="T43" s="119"/>
      <c r="U43" s="117"/>
      <c r="V43" s="117"/>
      <c r="W43" s="117"/>
      <c r="X43" s="117"/>
      <c r="Y43" s="117"/>
      <c r="Z43" s="117"/>
    </row>
    <row r="44" spans="1:29" ht="52.5" customHeight="1" thickBot="1">
      <c r="A44" s="4"/>
      <c r="B44" s="244" t="s">
        <v>132</v>
      </c>
      <c r="C44" s="244"/>
      <c r="D44" s="244"/>
      <c r="E44" s="244"/>
      <c r="F44" s="244"/>
      <c r="G44" s="244"/>
      <c r="H44" s="244"/>
      <c r="I44" s="244"/>
      <c r="J44" s="244"/>
      <c r="K44" s="244"/>
      <c r="L44" s="244"/>
      <c r="M44" s="244"/>
      <c r="N44" s="244"/>
      <c r="O44" s="244"/>
      <c r="P44" s="244"/>
      <c r="Q44" s="244"/>
      <c r="R44" s="244"/>
      <c r="S44" s="244"/>
      <c r="T44" s="244"/>
      <c r="AA44" s="4"/>
      <c r="AB44" s="4"/>
      <c r="AC44" s="4"/>
    </row>
    <row r="45" spans="1:29" s="120" customFormat="1" ht="18" customHeight="1" thickBot="1">
      <c r="A45" s="117"/>
      <c r="B45" s="326" t="s">
        <v>81</v>
      </c>
      <c r="C45" s="327"/>
      <c r="D45" s="327"/>
      <c r="E45" s="327"/>
      <c r="F45" s="327"/>
      <c r="G45" s="327"/>
      <c r="H45" s="327"/>
      <c r="I45" s="328"/>
      <c r="J45" s="117"/>
      <c r="K45" s="117"/>
      <c r="L45" s="117"/>
      <c r="M45" s="117"/>
      <c r="N45" s="117"/>
      <c r="O45" s="117"/>
      <c r="P45" s="117"/>
      <c r="Q45" s="117"/>
      <c r="R45" s="117"/>
      <c r="S45" s="117"/>
      <c r="T45" s="117"/>
      <c r="U45" s="117"/>
      <c r="V45" s="117"/>
      <c r="W45" s="117"/>
      <c r="X45" s="117"/>
      <c r="Y45" s="117"/>
      <c r="Z45" s="117"/>
    </row>
    <row r="46" spans="1:29" s="120" customFormat="1" ht="18" customHeight="1" thickBot="1">
      <c r="A46" s="117"/>
      <c r="B46" s="320" t="s">
        <v>25</v>
      </c>
      <c r="C46" s="321"/>
      <c r="D46" s="322"/>
      <c r="E46" s="320" t="s">
        <v>14</v>
      </c>
      <c r="F46" s="321"/>
      <c r="G46" s="321"/>
      <c r="H46" s="321"/>
      <c r="I46" s="322"/>
      <c r="J46" s="117"/>
      <c r="K46" s="117"/>
      <c r="L46" s="117"/>
      <c r="M46" s="117"/>
      <c r="N46" s="117"/>
      <c r="O46" s="117"/>
      <c r="P46" s="117"/>
      <c r="Q46" s="117"/>
      <c r="R46" s="117"/>
      <c r="S46" s="117"/>
      <c r="T46" s="117"/>
      <c r="U46" s="117"/>
      <c r="V46" s="117"/>
      <c r="W46" s="117"/>
      <c r="X46" s="117"/>
      <c r="Y46" s="117"/>
      <c r="Z46" s="117"/>
    </row>
    <row r="47" spans="1:29" ht="105" customHeight="1">
      <c r="A47" s="4"/>
      <c r="B47" s="307" t="s">
        <v>32</v>
      </c>
      <c r="C47" s="308"/>
      <c r="D47" s="309"/>
      <c r="E47" s="310" t="s">
        <v>193</v>
      </c>
      <c r="F47" s="311"/>
      <c r="G47" s="311"/>
      <c r="H47" s="311"/>
      <c r="I47" s="312"/>
      <c r="J47" s="4"/>
      <c r="K47" s="4"/>
      <c r="L47" s="4"/>
      <c r="M47" s="4"/>
      <c r="N47" s="4"/>
      <c r="O47" s="4"/>
      <c r="P47" s="4"/>
      <c r="Q47" s="4"/>
      <c r="R47" s="4"/>
      <c r="S47" s="4"/>
      <c r="T47" s="4"/>
    </row>
    <row r="48" spans="1:29" ht="75.75" customHeight="1">
      <c r="A48" s="4"/>
      <c r="B48" s="299" t="s">
        <v>33</v>
      </c>
      <c r="C48" s="300"/>
      <c r="D48" s="300"/>
      <c r="E48" s="301" t="s">
        <v>79</v>
      </c>
      <c r="F48" s="301"/>
      <c r="G48" s="301"/>
      <c r="H48" s="301"/>
      <c r="I48" s="302"/>
      <c r="J48" s="7"/>
      <c r="K48" s="7"/>
      <c r="L48" s="7"/>
      <c r="M48" s="7"/>
      <c r="N48" s="7"/>
      <c r="O48" s="7"/>
      <c r="P48" s="7"/>
      <c r="Q48" s="7"/>
      <c r="R48" s="4"/>
      <c r="S48" s="4"/>
      <c r="T48" s="4"/>
    </row>
    <row r="49" spans="1:20" ht="37.5" customHeight="1" thickBot="1">
      <c r="A49" s="4"/>
      <c r="B49" s="305" t="s">
        <v>34</v>
      </c>
      <c r="C49" s="306"/>
      <c r="D49" s="306"/>
      <c r="E49" s="292" t="s">
        <v>80</v>
      </c>
      <c r="F49" s="293"/>
      <c r="G49" s="293"/>
      <c r="H49" s="293"/>
      <c r="I49" s="294"/>
      <c r="J49" s="7"/>
      <c r="K49" s="7"/>
      <c r="L49" s="7"/>
      <c r="M49" s="7"/>
      <c r="N49" s="7"/>
      <c r="O49" s="7"/>
      <c r="P49" s="7"/>
      <c r="Q49" s="7"/>
      <c r="R49" s="7"/>
      <c r="S49" s="4"/>
      <c r="T49" s="4"/>
    </row>
    <row r="50" spans="1:20" ht="6.75" customHeight="1">
      <c r="A50" s="7"/>
      <c r="B50" s="291"/>
      <c r="C50" s="291"/>
      <c r="D50" s="291"/>
      <c r="E50" s="295"/>
      <c r="F50" s="295"/>
      <c r="G50" s="295"/>
      <c r="H50" s="295"/>
      <c r="I50" s="295"/>
      <c r="J50" s="7"/>
      <c r="K50" s="7"/>
      <c r="L50" s="7"/>
      <c r="M50" s="7"/>
      <c r="N50" s="7"/>
      <c r="O50" s="7"/>
      <c r="P50" s="7"/>
      <c r="Q50" s="7"/>
      <c r="R50" s="7"/>
      <c r="S50" s="4"/>
      <c r="T50" s="4"/>
    </row>
    <row r="51" spans="1:20" ht="23.25" hidden="1" customHeight="1">
      <c r="A51" s="7"/>
      <c r="B51" s="291"/>
      <c r="C51" s="291"/>
      <c r="D51" s="291"/>
      <c r="E51" s="295"/>
      <c r="F51" s="295"/>
      <c r="G51" s="295"/>
      <c r="H51" s="295"/>
      <c r="I51" s="295"/>
      <c r="J51" s="7"/>
      <c r="K51" s="7"/>
      <c r="L51" s="7"/>
      <c r="M51" s="7"/>
      <c r="N51" s="7"/>
      <c r="O51" s="7"/>
      <c r="P51" s="7"/>
      <c r="Q51" s="7"/>
      <c r="R51" s="7"/>
      <c r="S51" s="4"/>
      <c r="T51" s="4"/>
    </row>
    <row r="52" spans="1:20" hidden="1">
      <c r="A52" s="7"/>
      <c r="B52" s="291"/>
      <c r="C52" s="291"/>
      <c r="D52" s="291"/>
      <c r="E52" s="295"/>
      <c r="F52" s="295"/>
      <c r="G52" s="295"/>
      <c r="H52" s="295"/>
      <c r="I52" s="295"/>
      <c r="J52" s="7"/>
      <c r="K52" s="7"/>
      <c r="L52" s="7"/>
      <c r="M52" s="7"/>
      <c r="N52" s="7"/>
      <c r="O52" s="7"/>
      <c r="P52" s="7"/>
      <c r="Q52" s="7"/>
      <c r="R52" s="7"/>
      <c r="S52" s="4"/>
      <c r="T52" s="4"/>
    </row>
    <row r="53" spans="1:20" ht="25.5" hidden="1" customHeight="1">
      <c r="A53" s="7"/>
      <c r="B53" s="291"/>
      <c r="C53" s="291"/>
      <c r="D53" s="291"/>
      <c r="E53" s="295"/>
      <c r="F53" s="295"/>
      <c r="G53" s="295"/>
      <c r="H53" s="295"/>
      <c r="I53" s="295"/>
      <c r="J53" s="4"/>
      <c r="K53" s="4"/>
      <c r="L53" s="4"/>
      <c r="M53" s="4"/>
      <c r="N53" s="4"/>
      <c r="O53" s="4"/>
      <c r="P53" s="4"/>
      <c r="Q53" s="4"/>
      <c r="R53" s="7"/>
      <c r="S53" s="4"/>
      <c r="T53" s="4"/>
    </row>
    <row r="54" spans="1:20" hidden="1">
      <c r="A54" s="4"/>
      <c r="B54" s="4"/>
      <c r="C54" s="4"/>
      <c r="D54" s="4"/>
      <c r="E54" s="4"/>
      <c r="F54" s="4"/>
      <c r="G54" s="4"/>
      <c r="H54" s="4"/>
      <c r="I54" s="4"/>
      <c r="J54" s="4"/>
      <c r="K54" s="4"/>
      <c r="L54" s="4"/>
      <c r="M54" s="4"/>
      <c r="N54" s="4"/>
      <c r="O54" s="4"/>
      <c r="P54" s="4"/>
      <c r="Q54" s="4"/>
      <c r="R54" s="4"/>
      <c r="S54" s="4"/>
      <c r="T54" s="4"/>
    </row>
    <row r="55" spans="1:20" hidden="1">
      <c r="A55" s="4"/>
      <c r="B55" s="4"/>
      <c r="C55" s="4"/>
      <c r="D55" s="4"/>
      <c r="E55" s="4"/>
      <c r="F55" s="4"/>
      <c r="G55" s="4"/>
      <c r="H55" s="4"/>
      <c r="I55" s="4"/>
      <c r="J55" s="4"/>
      <c r="K55" s="4"/>
      <c r="L55" s="4"/>
      <c r="M55" s="4"/>
      <c r="N55" s="4"/>
      <c r="O55" s="4"/>
      <c r="P55" s="4"/>
      <c r="Q55" s="4"/>
      <c r="R55" s="4"/>
      <c r="S55" s="4"/>
      <c r="T55" s="4"/>
    </row>
    <row r="56" spans="1:20" hidden="1">
      <c r="A56" s="4"/>
      <c r="B56" s="4"/>
      <c r="C56" s="4"/>
      <c r="D56" s="4"/>
      <c r="E56" s="4"/>
      <c r="F56" s="4"/>
      <c r="G56" s="4"/>
      <c r="H56" s="4"/>
      <c r="I56" s="4"/>
      <c r="J56" s="4"/>
      <c r="K56" s="4"/>
      <c r="L56" s="4"/>
      <c r="M56" s="4"/>
      <c r="N56" s="4"/>
      <c r="O56" s="4"/>
      <c r="P56" s="4"/>
      <c r="Q56" s="4"/>
      <c r="R56" s="4"/>
      <c r="S56" s="4"/>
      <c r="T56" s="4"/>
    </row>
    <row r="57" spans="1:20" hidden="1">
      <c r="A57" s="4"/>
      <c r="B57" s="4"/>
      <c r="C57" s="4"/>
      <c r="D57" s="4"/>
      <c r="E57" s="4"/>
      <c r="F57" s="4"/>
      <c r="G57" s="4"/>
      <c r="H57" s="4"/>
      <c r="I57" s="4"/>
      <c r="J57" s="4"/>
      <c r="K57" s="4"/>
      <c r="L57" s="4"/>
      <c r="M57" s="4"/>
      <c r="N57" s="4"/>
      <c r="O57" s="4"/>
      <c r="P57" s="4"/>
      <c r="Q57" s="4"/>
      <c r="R57" s="4"/>
      <c r="S57" s="4"/>
      <c r="T57" s="4"/>
    </row>
    <row r="58" spans="1:20" hidden="1">
      <c r="A58" s="4"/>
      <c r="B58" s="4"/>
      <c r="C58" s="4"/>
      <c r="D58" s="4"/>
      <c r="E58" s="4"/>
      <c r="F58" s="4"/>
      <c r="G58" s="4"/>
      <c r="H58" s="4"/>
      <c r="I58" s="4"/>
      <c r="J58" s="4"/>
      <c r="K58" s="4"/>
      <c r="L58" s="4"/>
      <c r="M58" s="4"/>
      <c r="N58" s="4"/>
      <c r="O58" s="4"/>
      <c r="P58" s="4"/>
      <c r="Q58" s="4"/>
      <c r="R58" s="4"/>
      <c r="S58" s="4"/>
      <c r="T58" s="4"/>
    </row>
    <row r="59" spans="1:20" hidden="1">
      <c r="A59" s="4"/>
      <c r="B59" s="4"/>
      <c r="C59" s="4"/>
      <c r="D59" s="4"/>
      <c r="E59" s="4"/>
      <c r="F59" s="4"/>
      <c r="G59" s="4"/>
      <c r="H59" s="4"/>
      <c r="I59" s="4"/>
      <c r="J59" s="4"/>
      <c r="K59" s="4"/>
      <c r="L59" s="4"/>
      <c r="M59" s="4"/>
      <c r="N59" s="4"/>
      <c r="O59" s="4"/>
      <c r="P59" s="4"/>
      <c r="Q59" s="4"/>
      <c r="R59" s="4"/>
      <c r="S59" s="4"/>
      <c r="T59" s="4"/>
    </row>
    <row r="60" spans="1:20" hidden="1">
      <c r="A60" s="4"/>
      <c r="B60" s="4"/>
      <c r="C60" s="4"/>
      <c r="D60" s="4"/>
      <c r="E60" s="4"/>
      <c r="F60" s="4"/>
      <c r="G60" s="4"/>
      <c r="H60" s="4"/>
      <c r="I60" s="4"/>
      <c r="J60" s="4"/>
      <c r="K60" s="4"/>
      <c r="L60" s="4"/>
      <c r="M60" s="4"/>
      <c r="N60" s="4"/>
      <c r="O60" s="4"/>
      <c r="P60" s="4"/>
      <c r="Q60" s="4"/>
      <c r="R60" s="4"/>
      <c r="S60" s="4"/>
      <c r="T60" s="4"/>
    </row>
    <row r="61" spans="1:20" hidden="1">
      <c r="A61" s="4"/>
      <c r="B61" s="4"/>
      <c r="C61" s="4"/>
      <c r="D61" s="4"/>
      <c r="E61" s="4"/>
      <c r="F61" s="4"/>
      <c r="G61" s="4"/>
      <c r="H61" s="4"/>
      <c r="I61" s="4"/>
      <c r="J61" s="4"/>
      <c r="K61" s="4"/>
      <c r="L61" s="4"/>
      <c r="M61" s="4"/>
      <c r="N61" s="4"/>
      <c r="O61" s="4"/>
      <c r="P61" s="4"/>
      <c r="Q61" s="4"/>
      <c r="R61" s="4"/>
      <c r="S61" s="4"/>
      <c r="T61" s="4"/>
    </row>
    <row r="62" spans="1:20" hidden="1">
      <c r="A62" s="4"/>
      <c r="B62" s="4"/>
      <c r="C62" s="4"/>
      <c r="D62" s="4"/>
      <c r="E62" s="4"/>
      <c r="F62" s="4"/>
      <c r="G62" s="4"/>
      <c r="H62" s="4"/>
      <c r="I62" s="4"/>
      <c r="J62" s="4"/>
      <c r="K62" s="4"/>
      <c r="L62" s="4"/>
      <c r="M62" s="4"/>
      <c r="N62" s="4"/>
      <c r="O62" s="4"/>
      <c r="P62" s="4"/>
      <c r="Q62" s="4"/>
      <c r="R62" s="4"/>
      <c r="S62" s="4"/>
      <c r="T62" s="4"/>
    </row>
    <row r="63" spans="1:20" hidden="1">
      <c r="A63" s="4"/>
      <c r="B63" s="4"/>
      <c r="C63" s="4"/>
      <c r="D63" s="4"/>
      <c r="E63" s="4"/>
      <c r="F63" s="4"/>
      <c r="G63" s="4"/>
      <c r="H63" s="4"/>
      <c r="I63" s="4"/>
      <c r="J63" s="4"/>
      <c r="K63" s="4"/>
      <c r="L63" s="4"/>
      <c r="M63" s="4"/>
      <c r="N63" s="4"/>
      <c r="O63" s="4"/>
      <c r="P63" s="4"/>
      <c r="Q63" s="4"/>
      <c r="R63" s="4"/>
      <c r="S63" s="4"/>
      <c r="T63" s="4"/>
    </row>
    <row r="64" spans="1:20" hidden="1">
      <c r="A64" s="4"/>
      <c r="B64" s="4"/>
      <c r="C64" s="4"/>
      <c r="D64" s="4"/>
      <c r="E64" s="4"/>
      <c r="F64" s="4"/>
      <c r="G64" s="4"/>
      <c r="H64" s="4"/>
      <c r="I64" s="4"/>
      <c r="J64" s="4"/>
      <c r="K64" s="4"/>
      <c r="L64" s="4"/>
      <c r="M64" s="4"/>
      <c r="N64" s="4"/>
      <c r="O64" s="4"/>
      <c r="P64" s="4"/>
      <c r="Q64" s="4"/>
      <c r="R64" s="4"/>
      <c r="S64" s="4"/>
      <c r="T64" s="4"/>
    </row>
    <row r="65" hidden="1"/>
    <row r="66" hidden="1"/>
    <row r="67" hidden="1"/>
    <row r="68" hidden="1"/>
    <row r="69" hidden="1"/>
    <row r="70" hidden="1"/>
    <row r="71" hidden="1"/>
    <row r="72"/>
  </sheetData>
  <mergeCells count="149">
    <mergeCell ref="B27:D27"/>
    <mergeCell ref="E27:I27"/>
    <mergeCell ref="M27:Q27"/>
    <mergeCell ref="B28:D28"/>
    <mergeCell ref="B26:D26"/>
    <mergeCell ref="E20:I20"/>
    <mergeCell ref="R19:S19"/>
    <mergeCell ref="M22:Q22"/>
    <mergeCell ref="J20:L20"/>
    <mergeCell ref="J21:L21"/>
    <mergeCell ref="M21:Q21"/>
    <mergeCell ref="E22:I22"/>
    <mergeCell ref="B25:D25"/>
    <mergeCell ref="R24:S24"/>
    <mergeCell ref="R22:S22"/>
    <mergeCell ref="M20:Q20"/>
    <mergeCell ref="E19:I19"/>
    <mergeCell ref="B21:D21"/>
    <mergeCell ref="E21:I21"/>
    <mergeCell ref="B19:D19"/>
    <mergeCell ref="B20:D20"/>
    <mergeCell ref="J19:L19"/>
    <mergeCell ref="B44:T44"/>
    <mergeCell ref="B23:D23"/>
    <mergeCell ref="R23:S23"/>
    <mergeCell ref="E23:I23"/>
    <mergeCell ref="J27:L27"/>
    <mergeCell ref="R25:S25"/>
    <mergeCell ref="B52:D52"/>
    <mergeCell ref="E51:I51"/>
    <mergeCell ref="B51:D51"/>
    <mergeCell ref="B49:D49"/>
    <mergeCell ref="B50:D50"/>
    <mergeCell ref="B47:D47"/>
    <mergeCell ref="E47:I47"/>
    <mergeCell ref="M24:Q24"/>
    <mergeCell ref="E29:I29"/>
    <mergeCell ref="R28:S28"/>
    <mergeCell ref="E28:I28"/>
    <mergeCell ref="J29:L29"/>
    <mergeCell ref="B46:D46"/>
    <mergeCell ref="E46:I46"/>
    <mergeCell ref="M28:Q28"/>
    <mergeCell ref="M29:Q29"/>
    <mergeCell ref="B45:I45"/>
    <mergeCell ref="J28:L28"/>
    <mergeCell ref="B53:D53"/>
    <mergeCell ref="E49:I49"/>
    <mergeCell ref="E50:I50"/>
    <mergeCell ref="E52:I52"/>
    <mergeCell ref="E53:I53"/>
    <mergeCell ref="M25:Q25"/>
    <mergeCell ref="J25:L25"/>
    <mergeCell ref="B24:D24"/>
    <mergeCell ref="R32:S32"/>
    <mergeCell ref="B32:D32"/>
    <mergeCell ref="E32:I32"/>
    <mergeCell ref="M30:Q30"/>
    <mergeCell ref="R30:S30"/>
    <mergeCell ref="E24:I24"/>
    <mergeCell ref="J24:L24"/>
    <mergeCell ref="R29:S29"/>
    <mergeCell ref="B29:D29"/>
    <mergeCell ref="M32:Q32"/>
    <mergeCell ref="J31:L31"/>
    <mergeCell ref="M31:Q31"/>
    <mergeCell ref="R31:S31"/>
    <mergeCell ref="J32:L32"/>
    <mergeCell ref="B48:D48"/>
    <mergeCell ref="E48:I48"/>
    <mergeCell ref="B1:T1"/>
    <mergeCell ref="B5:F5"/>
    <mergeCell ref="G5:P5"/>
    <mergeCell ref="B2:P2"/>
    <mergeCell ref="G14:P14"/>
    <mergeCell ref="G15:P15"/>
    <mergeCell ref="G4:P4"/>
    <mergeCell ref="G6:P6"/>
    <mergeCell ref="B7:F7"/>
    <mergeCell ref="B8:F8"/>
    <mergeCell ref="B9:F9"/>
    <mergeCell ref="B10:F10"/>
    <mergeCell ref="B11:F11"/>
    <mergeCell ref="B13:F13"/>
    <mergeCell ref="G9:P9"/>
    <mergeCell ref="G10:P10"/>
    <mergeCell ref="G11:P11"/>
    <mergeCell ref="G12:P12"/>
    <mergeCell ref="B12:F12"/>
    <mergeCell ref="B3:F3"/>
    <mergeCell ref="G3:P3"/>
    <mergeCell ref="B4:F4"/>
    <mergeCell ref="B6:F6"/>
    <mergeCell ref="G7:P7"/>
    <mergeCell ref="E37:I37"/>
    <mergeCell ref="B35:D35"/>
    <mergeCell ref="E35:I35"/>
    <mergeCell ref="J35:R35"/>
    <mergeCell ref="B36:D36"/>
    <mergeCell ref="E36:I36"/>
    <mergeCell ref="J37:R37"/>
    <mergeCell ref="J33:L33"/>
    <mergeCell ref="B37:D37"/>
    <mergeCell ref="J36:R36"/>
    <mergeCell ref="M33:Q33"/>
    <mergeCell ref="B34:T34"/>
    <mergeCell ref="R33:S33"/>
    <mergeCell ref="B33:D33"/>
    <mergeCell ref="E33:I33"/>
    <mergeCell ref="B31:D31"/>
    <mergeCell ref="E31:I31"/>
    <mergeCell ref="B17:T17"/>
    <mergeCell ref="B22:D22"/>
    <mergeCell ref="B30:D30"/>
    <mergeCell ref="E30:I30"/>
    <mergeCell ref="E25:I25"/>
    <mergeCell ref="G8:P8"/>
    <mergeCell ref="G13:P13"/>
    <mergeCell ref="B14:F14"/>
    <mergeCell ref="B15:F15"/>
    <mergeCell ref="B16:F16"/>
    <mergeCell ref="M19:Q19"/>
    <mergeCell ref="E18:S18"/>
    <mergeCell ref="G16:P16"/>
    <mergeCell ref="R27:S27"/>
    <mergeCell ref="J30:L30"/>
    <mergeCell ref="R20:S20"/>
    <mergeCell ref="R21:S21"/>
    <mergeCell ref="B18:D18"/>
    <mergeCell ref="E26:S26"/>
    <mergeCell ref="J23:L23"/>
    <mergeCell ref="M23:Q23"/>
    <mergeCell ref="J22:L22"/>
    <mergeCell ref="B40:D40"/>
    <mergeCell ref="E40:I40"/>
    <mergeCell ref="J40:R40"/>
    <mergeCell ref="E42:I42"/>
    <mergeCell ref="J42:R42"/>
    <mergeCell ref="J38:R38"/>
    <mergeCell ref="B43:D43"/>
    <mergeCell ref="E43:I43"/>
    <mergeCell ref="J43:R43"/>
    <mergeCell ref="B41:D41"/>
    <mergeCell ref="E41:I41"/>
    <mergeCell ref="B38:D38"/>
    <mergeCell ref="E38:I38"/>
    <mergeCell ref="J41:R41"/>
    <mergeCell ref="B42:D42"/>
    <mergeCell ref="B39:T39"/>
  </mergeCells>
  <phoneticPr fontId="0" type="noConversion"/>
  <pageMargins left="0.7" right="0.7" top="0.75" bottom="0.75" header="0.3" footer="0.3"/>
  <pageSetup paperSize="8" scale="46" orientation="landscape" horizontalDpi="300" verticalDpi="300" r:id="rId1"/>
  <headerFooter>
    <oddFooter>&amp;CConfidential</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AH7"/>
  <sheetViews>
    <sheetView showGridLines="0" zoomScaleNormal="70" workbookViewId="0">
      <pane ySplit="4" topLeftCell="A5" activePane="bottomLeft" state="frozenSplit"/>
      <selection activeCell="B47" sqref="B47"/>
      <selection pane="bottomLeft" activeCell="B16" sqref="B16:C17"/>
    </sheetView>
  </sheetViews>
  <sheetFormatPr defaultRowHeight="12.75"/>
  <cols>
    <col min="1" max="1" width="11.42578125" style="88" customWidth="1"/>
    <col min="2" max="4" width="26" style="88" customWidth="1"/>
    <col min="5" max="5" width="30.7109375" style="89" customWidth="1"/>
    <col min="6" max="6" width="30.7109375" style="90" customWidth="1"/>
    <col min="7" max="7" width="32" style="88" customWidth="1"/>
    <col min="8" max="9" width="15.5703125" style="91" customWidth="1"/>
    <col min="10" max="10" width="15.5703125" style="88" customWidth="1"/>
    <col min="11" max="13" width="25.7109375" style="88" customWidth="1"/>
    <col min="14" max="14" width="28.42578125" style="88" customWidth="1"/>
    <col min="15" max="15" width="28.42578125" style="90" customWidth="1"/>
    <col min="16" max="17" width="38.140625" style="88" customWidth="1"/>
    <col min="18" max="18" width="3" style="88" customWidth="1"/>
    <col min="19" max="19" width="51.42578125" style="88" customWidth="1"/>
    <col min="20" max="20" width="42.140625" style="88" customWidth="1"/>
    <col min="21" max="21" width="9.140625" style="92"/>
    <col min="22" max="16384" width="9.140625" style="88"/>
  </cols>
  <sheetData>
    <row r="1" spans="1:34" s="66" customFormat="1" ht="104.25" customHeight="1" thickBot="1">
      <c r="A1" s="218" t="s">
        <v>179</v>
      </c>
      <c r="B1" s="219"/>
      <c r="C1" s="219"/>
      <c r="D1" s="219"/>
      <c r="E1" s="219"/>
      <c r="F1" s="219"/>
      <c r="G1" s="219"/>
      <c r="H1" s="219"/>
      <c r="I1" s="219"/>
      <c r="J1" s="219"/>
      <c r="K1" s="219"/>
      <c r="L1" s="219"/>
      <c r="M1" s="219"/>
      <c r="N1" s="219"/>
      <c r="O1" s="219"/>
      <c r="P1" s="219"/>
      <c r="Q1" s="219"/>
      <c r="R1" s="219"/>
      <c r="S1" s="219"/>
      <c r="T1" s="219"/>
      <c r="U1" s="81"/>
    </row>
    <row r="2" spans="1:34" customFormat="1" ht="16.5" customHeight="1" thickBot="1">
      <c r="A2" s="30"/>
      <c r="B2" s="346" t="s">
        <v>26</v>
      </c>
      <c r="C2" s="347"/>
      <c r="D2" s="348"/>
      <c r="E2" s="349" t="s">
        <v>25</v>
      </c>
      <c r="F2" s="350"/>
      <c r="G2" s="350"/>
      <c r="H2" s="350"/>
      <c r="I2" s="350"/>
      <c r="J2" s="350"/>
      <c r="K2" s="350"/>
      <c r="L2" s="350"/>
      <c r="M2" s="350"/>
      <c r="N2" s="351"/>
      <c r="O2" s="71"/>
      <c r="P2" s="352" t="s">
        <v>22</v>
      </c>
      <c r="Q2" s="353"/>
      <c r="R2" s="31"/>
      <c r="S2" s="54" t="s">
        <v>113</v>
      </c>
      <c r="T2" s="32" t="s">
        <v>54</v>
      </c>
      <c r="U2" s="82"/>
      <c r="X2" s="2"/>
      <c r="Y2" s="2"/>
      <c r="Z2" s="2"/>
      <c r="AA2" s="2"/>
      <c r="AB2" s="2"/>
      <c r="AC2" s="2"/>
      <c r="AD2" s="2"/>
      <c r="AE2" s="2"/>
      <c r="AF2" s="2"/>
      <c r="AG2" s="2"/>
      <c r="AH2" s="2"/>
    </row>
    <row r="3" spans="1:34" customFormat="1" ht="87" customHeight="1" thickBot="1">
      <c r="A3" s="84" t="s">
        <v>153</v>
      </c>
      <c r="B3" s="33" t="s">
        <v>160</v>
      </c>
      <c r="C3" s="34" t="s">
        <v>93</v>
      </c>
      <c r="D3" s="35" t="s">
        <v>94</v>
      </c>
      <c r="E3" s="33" t="s">
        <v>30</v>
      </c>
      <c r="F3" s="69" t="s">
        <v>31</v>
      </c>
      <c r="G3" s="69" t="s">
        <v>114</v>
      </c>
      <c r="H3" s="69" t="s">
        <v>155</v>
      </c>
      <c r="I3" s="69" t="s">
        <v>156</v>
      </c>
      <c r="J3" s="69" t="s">
        <v>157</v>
      </c>
      <c r="K3" s="70" t="s">
        <v>112</v>
      </c>
      <c r="L3" s="70" t="s">
        <v>115</v>
      </c>
      <c r="M3" s="70" t="s">
        <v>116</v>
      </c>
      <c r="N3" s="63" t="s">
        <v>154</v>
      </c>
      <c r="O3" s="64" t="s">
        <v>161</v>
      </c>
      <c r="P3" s="73" t="s">
        <v>158</v>
      </c>
      <c r="Q3" s="74" t="s">
        <v>159</v>
      </c>
      <c r="R3" s="31"/>
      <c r="S3" s="36" t="s">
        <v>23</v>
      </c>
      <c r="T3" s="36" t="s">
        <v>91</v>
      </c>
      <c r="U3" s="83"/>
      <c r="X3" s="3"/>
      <c r="Y3" s="3"/>
      <c r="Z3" s="3"/>
      <c r="AA3" s="3"/>
      <c r="AB3" s="3"/>
      <c r="AC3" s="3"/>
      <c r="AD3" s="3"/>
      <c r="AE3" s="3"/>
      <c r="AF3" s="3"/>
      <c r="AG3" s="3"/>
      <c r="AH3" s="3"/>
    </row>
    <row r="4" spans="1:34" s="80" customFormat="1" ht="43.5" customHeight="1">
      <c r="A4" s="75">
        <v>1</v>
      </c>
      <c r="B4" s="76" t="s">
        <v>11</v>
      </c>
      <c r="C4" s="76"/>
      <c r="D4" s="76"/>
      <c r="E4" s="77"/>
      <c r="F4" s="76"/>
      <c r="G4" s="76"/>
      <c r="H4" s="78"/>
      <c r="I4" s="78"/>
      <c r="J4" s="78"/>
      <c r="K4" s="79"/>
      <c r="L4" s="79"/>
      <c r="M4" s="79"/>
      <c r="N4" s="79"/>
      <c r="O4" s="79"/>
      <c r="P4" s="76"/>
      <c r="Q4" s="76"/>
    </row>
    <row r="5" spans="1:34" customFormat="1" ht="33.75">
      <c r="A5" s="43">
        <v>26</v>
      </c>
      <c r="B5" s="94" t="s">
        <v>0</v>
      </c>
      <c r="C5" s="95" t="s">
        <v>3</v>
      </c>
      <c r="D5" s="95" t="s">
        <v>181</v>
      </c>
      <c r="E5" s="93" t="s">
        <v>6</v>
      </c>
      <c r="F5" s="95" t="s">
        <v>9</v>
      </c>
      <c r="G5" s="95" t="s">
        <v>1</v>
      </c>
      <c r="H5" s="48" t="s">
        <v>13</v>
      </c>
      <c r="I5" s="48" t="s">
        <v>13</v>
      </c>
      <c r="J5" s="48" t="s">
        <v>12</v>
      </c>
      <c r="K5" s="49" t="s">
        <v>24</v>
      </c>
      <c r="L5" s="49" t="s">
        <v>118</v>
      </c>
      <c r="M5" s="49" t="s">
        <v>118</v>
      </c>
      <c r="N5" s="96" t="s">
        <v>180</v>
      </c>
      <c r="O5" s="97" t="s">
        <v>182</v>
      </c>
      <c r="P5" s="98" t="s">
        <v>10</v>
      </c>
      <c r="Q5" s="99" t="s">
        <v>2</v>
      </c>
      <c r="R5" s="41"/>
      <c r="S5" s="52" t="s">
        <v>184</v>
      </c>
      <c r="T5" s="52" t="s">
        <v>185</v>
      </c>
      <c r="W5" s="2"/>
      <c r="X5" s="2"/>
      <c r="Y5" s="2"/>
      <c r="Z5" s="2"/>
      <c r="AA5" s="2"/>
      <c r="AB5" s="2"/>
      <c r="AC5" s="2"/>
      <c r="AD5" s="2"/>
      <c r="AE5" s="2"/>
      <c r="AF5" s="2"/>
      <c r="AG5" s="2"/>
    </row>
    <row r="6" spans="1:34" customFormat="1" ht="33.75">
      <c r="A6" s="43">
        <v>28</v>
      </c>
      <c r="B6" s="94" t="s">
        <v>0</v>
      </c>
      <c r="C6" s="95" t="s">
        <v>4</v>
      </c>
      <c r="D6" s="95" t="s">
        <v>181</v>
      </c>
      <c r="E6" s="93" t="s">
        <v>183</v>
      </c>
      <c r="F6" s="95" t="s">
        <v>8</v>
      </c>
      <c r="G6" s="95" t="s">
        <v>1</v>
      </c>
      <c r="H6" s="48" t="s">
        <v>13</v>
      </c>
      <c r="I6" s="48" t="s">
        <v>13</v>
      </c>
      <c r="J6" s="48" t="s">
        <v>12</v>
      </c>
      <c r="K6" s="49" t="s">
        <v>61</v>
      </c>
      <c r="L6" s="49" t="s">
        <v>118</v>
      </c>
      <c r="M6" s="49" t="s">
        <v>118</v>
      </c>
      <c r="N6" s="96" t="s">
        <v>180</v>
      </c>
      <c r="O6" s="97" t="s">
        <v>182</v>
      </c>
      <c r="P6" s="98" t="s">
        <v>10</v>
      </c>
      <c r="Q6" s="99" t="s">
        <v>2</v>
      </c>
      <c r="R6" s="41"/>
      <c r="S6" s="52" t="s">
        <v>184</v>
      </c>
      <c r="T6" s="52" t="s">
        <v>185</v>
      </c>
      <c r="W6" s="2"/>
      <c r="X6" s="2"/>
      <c r="Y6" s="2"/>
      <c r="Z6" s="2"/>
      <c r="AA6" s="2"/>
      <c r="AB6" s="2"/>
      <c r="AC6" s="2"/>
      <c r="AD6" s="2"/>
      <c r="AE6" s="2"/>
      <c r="AF6" s="2"/>
      <c r="AG6" s="2"/>
    </row>
    <row r="7" spans="1:34" customFormat="1" ht="33.75">
      <c r="A7" s="43">
        <v>29</v>
      </c>
      <c r="B7" s="94" t="s">
        <v>0</v>
      </c>
      <c r="C7" s="95" t="s">
        <v>5</v>
      </c>
      <c r="D7" s="95" t="s">
        <v>181</v>
      </c>
      <c r="E7" s="93" t="s">
        <v>7</v>
      </c>
      <c r="F7" s="95" t="s">
        <v>8</v>
      </c>
      <c r="G7" s="95" t="s">
        <v>1</v>
      </c>
      <c r="H7" s="48" t="s">
        <v>13</v>
      </c>
      <c r="I7" s="48" t="s">
        <v>13</v>
      </c>
      <c r="J7" s="48" t="s">
        <v>12</v>
      </c>
      <c r="K7" s="49" t="s">
        <v>61</v>
      </c>
      <c r="L7" s="49" t="s">
        <v>118</v>
      </c>
      <c r="M7" s="49" t="s">
        <v>118</v>
      </c>
      <c r="N7" s="96" t="s">
        <v>180</v>
      </c>
      <c r="O7" s="97" t="s">
        <v>182</v>
      </c>
      <c r="P7" s="98" t="s">
        <v>10</v>
      </c>
      <c r="Q7" s="99" t="s">
        <v>2</v>
      </c>
      <c r="R7" s="41"/>
      <c r="S7" s="52" t="s">
        <v>184</v>
      </c>
      <c r="T7" s="52" t="s">
        <v>185</v>
      </c>
      <c r="W7" s="2"/>
      <c r="X7" s="2"/>
      <c r="Y7" s="2"/>
      <c r="Z7" s="2"/>
      <c r="AA7" s="2"/>
      <c r="AB7" s="2"/>
      <c r="AC7" s="2"/>
      <c r="AD7" s="2"/>
      <c r="AE7" s="2"/>
      <c r="AF7" s="2"/>
      <c r="AG7" s="2"/>
    </row>
  </sheetData>
  <mergeCells count="4">
    <mergeCell ref="A1:T1"/>
    <mergeCell ref="B2:D2"/>
    <mergeCell ref="E2:N2"/>
    <mergeCell ref="P2:Q2"/>
  </mergeCells>
  <dataValidations count="3">
    <dataValidation type="list" allowBlank="1" showInputMessage="1" showErrorMessage="1" sqref="L5:M7" xr:uid="{00000000-0002-0000-0400-000000000000}">
      <formula1>"High,Medium,Low"</formula1>
    </dataValidation>
    <dataValidation type="list" allowBlank="1" showInputMessage="1" showErrorMessage="1" sqref="H5:J7" xr:uid="{00000000-0002-0000-0400-000001000000}">
      <formula1>"Y,N"</formula1>
    </dataValidation>
    <dataValidation type="list" allowBlank="1" showInputMessage="1" showErrorMessage="1" sqref="K5:K7" xr:uid="{00000000-0002-0000-0400-000002000000}">
      <formula1>"Strictly Confidential,Confidential,Business use only, Public"</formula1>
    </dataValidation>
  </dataValidations>
  <pageMargins left="0.74803149606299213" right="0.74803149606299213" top="0.98425196850393704" bottom="0.74803149606299213" header="0.51181102362204722" footer="0.51181102362204722"/>
  <pageSetup scale="22" orientation="landscape" r:id="rId1"/>
  <headerFooter alignWithMargins="0">
    <oddFooter>&amp;L&amp;D&amp;CConfidential&amp;R&amp;A</oddFooter>
  </headerFooter>
  <drawing r:id="rId2"/>
  <legacyDrawing r:id="rId3"/>
  <controls>
    <mc:AlternateContent xmlns:mc="http://schemas.openxmlformats.org/markup-compatibility/2006">
      <mc:Choice Requires="x14">
        <control shapeId="10241" r:id="rId4" name="Summary_Button">
          <controlPr defaultSize="0" autoFill="0" autoLine="0" r:id="rId5">
            <anchor moveWithCells="1">
              <from>
                <xdr:col>0</xdr:col>
                <xdr:colOff>9525</xdr:colOff>
                <xdr:row>3</xdr:row>
                <xdr:rowOff>9525</xdr:rowOff>
              </from>
              <to>
                <xdr:col>1</xdr:col>
                <xdr:colOff>1057275</xdr:colOff>
                <xdr:row>3</xdr:row>
                <xdr:rowOff>342900</xdr:rowOff>
              </to>
            </anchor>
          </controlPr>
        </control>
      </mc:Choice>
      <mc:Fallback>
        <control shapeId="10241" r:id="rId4" name="Summary_Butto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G44"/>
  <sheetViews>
    <sheetView showGridLines="0" showRowColHeaders="0" view="pageBreakPreview" zoomScale="160" zoomScaleNormal="160" zoomScaleSheetLayoutView="130" workbookViewId="0">
      <selection activeCell="H1" sqref="A1:H1"/>
    </sheetView>
  </sheetViews>
  <sheetFormatPr defaultColWidth="0" defaultRowHeight="12.75" zeroHeight="1"/>
  <cols>
    <col min="1" max="1" width="38.140625" style="18" customWidth="1"/>
    <col min="2" max="3" width="6.140625" style="18" customWidth="1"/>
    <col min="4" max="4" width="10.5703125" style="18" customWidth="1"/>
    <col min="5" max="5" width="10.7109375" style="18" customWidth="1"/>
    <col min="6" max="6" width="10.5703125" style="18" customWidth="1"/>
    <col min="7" max="7" width="16.7109375" style="18" customWidth="1"/>
    <col min="8" max="8" width="2.7109375" style="18" customWidth="1"/>
    <col min="9" max="16384" width="0" style="18" hidden="1"/>
  </cols>
  <sheetData>
    <row r="1" spans="1:7" s="13" customFormat="1" ht="35.1" customHeight="1">
      <c r="A1" s="12" t="s">
        <v>152</v>
      </c>
    </row>
    <row r="2" spans="1:7" s="15" customFormat="1" ht="5.25" customHeight="1">
      <c r="A2" s="14"/>
    </row>
    <row r="3" spans="1:7" ht="13.5" thickBot="1">
      <c r="A3" s="16" t="s">
        <v>85</v>
      </c>
      <c r="B3" s="17"/>
    </row>
    <row r="4" spans="1:7" ht="13.5" thickBot="1">
      <c r="A4" s="19" t="s">
        <v>86</v>
      </c>
      <c r="B4" s="20" t="s">
        <v>87</v>
      </c>
    </row>
    <row r="5" spans="1:7">
      <c r="A5" s="21" t="s">
        <v>60</v>
      </c>
      <c r="B5" s="22" t="e">
        <f>COUNTIF(InformationAssetInventory!#REF!,"Strictly Confidential")</f>
        <v>#REF!</v>
      </c>
    </row>
    <row r="6" spans="1:7">
      <c r="A6" s="23" t="s">
        <v>24</v>
      </c>
      <c r="B6" s="24" t="e">
        <f>COUNTIF(InformationAssetInventory!#REF!,"Confidential")</f>
        <v>#REF!</v>
      </c>
    </row>
    <row r="7" spans="1:7">
      <c r="A7" s="25" t="s">
        <v>88</v>
      </c>
      <c r="B7" s="24" t="e">
        <f>COUNTIF(InformationAssetInventory!#REF!,"Business use only")</f>
        <v>#REF!</v>
      </c>
    </row>
    <row r="8" spans="1:7" ht="13.5" thickBot="1">
      <c r="A8" s="26" t="s">
        <v>62</v>
      </c>
      <c r="B8" s="27" t="e">
        <f>COUNTIF(InformationAssetInventory!#REF!,"Public")</f>
        <v>#REF!</v>
      </c>
    </row>
    <row r="9" spans="1:7"/>
    <row r="10" spans="1:7">
      <c r="A10" s="16" t="s">
        <v>89</v>
      </c>
      <c r="E10" s="28"/>
      <c r="F10" s="29"/>
    </row>
    <row r="11" spans="1:7">
      <c r="A11" s="354" t="s">
        <v>90</v>
      </c>
      <c r="B11" s="355"/>
      <c r="C11" s="355"/>
      <c r="D11" s="355"/>
      <c r="E11" s="355"/>
      <c r="F11" s="355"/>
      <c r="G11" s="356"/>
    </row>
    <row r="12" spans="1:7" ht="12.75" customHeight="1">
      <c r="A12" s="354"/>
      <c r="B12" s="355"/>
      <c r="C12" s="355"/>
      <c r="D12" s="355"/>
      <c r="E12" s="355"/>
      <c r="F12" s="355"/>
      <c r="G12" s="356"/>
    </row>
    <row r="13" spans="1:7">
      <c r="A13" s="354"/>
      <c r="B13" s="355"/>
      <c r="C13" s="355"/>
      <c r="D13" s="355"/>
      <c r="E13" s="355"/>
      <c r="F13" s="355"/>
      <c r="G13" s="356"/>
    </row>
    <row r="14" spans="1:7">
      <c r="A14" s="354"/>
      <c r="B14" s="355"/>
      <c r="C14" s="355"/>
      <c r="D14" s="355"/>
      <c r="E14" s="355"/>
      <c r="F14" s="355"/>
      <c r="G14" s="356"/>
    </row>
    <row r="15" spans="1:7" ht="12.75" customHeight="1">
      <c r="A15" s="354"/>
      <c r="B15" s="355"/>
      <c r="C15" s="355"/>
      <c r="D15" s="355"/>
      <c r="E15" s="355"/>
      <c r="F15" s="355"/>
      <c r="G15" s="356"/>
    </row>
    <row r="16" spans="1:7"/>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sheetData>
  <mergeCells count="5">
    <mergeCell ref="A11:G11"/>
    <mergeCell ref="A12:G12"/>
    <mergeCell ref="A15:G15"/>
    <mergeCell ref="A13:G13"/>
    <mergeCell ref="A14:G14"/>
  </mergeCells>
  <phoneticPr fontId="2" type="noConversion"/>
  <conditionalFormatting sqref="A5:A8">
    <cfRule type="cellIs" dxfId="1" priority="1" stopIfTrue="1" operator="greaterThan">
      <formula>0</formula>
    </cfRule>
    <cfRule type="cellIs" dxfId="0" priority="2" stopIfTrue="1" operator="equal">
      <formula>0</formula>
    </cfRule>
  </conditionalFormatting>
  <pageMargins left="0.75" right="0.75" top="1" bottom="1" header="0.5" footer="0.5"/>
  <pageSetup paperSize="9" orientation="landscape" r:id="rId1"/>
  <headerFooter alignWithMargins="0">
    <oddFooter>&amp;CConfidential</oddFooter>
  </headerFooter>
  <ignoredErrors>
    <ignoredError sqref="B5:B8" unlocked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Overview</vt:lpstr>
      <vt:lpstr>InformationAssetInventory</vt:lpstr>
      <vt:lpstr>GAP Analysis</vt:lpstr>
      <vt:lpstr>Guidelines</vt:lpstr>
      <vt:lpstr>GAP Analysis 2011</vt:lpstr>
      <vt:lpstr>MgmtSummary</vt:lpstr>
      <vt:lpstr>Guidelines!Print_Area</vt:lpstr>
      <vt:lpstr>MgmtSummary!Print_Area</vt:lpstr>
      <vt:lpstr>MgmtSummary!Print_Titles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2020-04-21T12:20:28Z</dcterms:created>
  <dcterms:modified xsi:type="dcterms:W3CDTF">2020-04-21T12:20:50Z</dcterms:modified>
  <cp:category/>
</cp:coreProperties>
</file>